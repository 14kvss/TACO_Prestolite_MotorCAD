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trlProps/ctrlProp2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F:\TACO\Excels\"/>
    </mc:Choice>
  </mc:AlternateContent>
  <xr:revisionPtr revIDLastSave="0" documentId="8_{A1D37D39-31F0-449E-92D2-7ACEB12498EF}" xr6:coauthVersionLast="47" xr6:coauthVersionMax="47" xr10:uidLastSave="{00000000-0000-0000-0000-000000000000}"/>
  <bookViews>
    <workbookView xWindow="-118" yWindow="-118" windowWidth="25370" windowHeight="13667" activeTab="5" xr2:uid="{990A19BC-4143-495B-9E55-62EBCD7F2136}"/>
  </bookViews>
  <sheets>
    <sheet name="Motor Ratings" sheetId="1" r:id="rId1"/>
    <sheet name="Main Dimensions" sheetId="2" r:id="rId2"/>
    <sheet name="Fresh_Start" sheetId="6" r:id="rId3"/>
    <sheet name="Resitivity Calculations" sheetId="4" r:id="rId4"/>
    <sheet name="SensitivityAnalysis" sheetId="3" r:id="rId5"/>
    <sheet name="Ns-Nm Combination" sheetId="5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21" i="6" l="1"/>
  <c r="G38" i="6"/>
  <c r="M41" i="6"/>
  <c r="M40" i="6"/>
  <c r="G37" i="6"/>
  <c r="O39" i="6"/>
  <c r="N39" i="6"/>
  <c r="M39" i="6"/>
  <c r="M17" i="6"/>
  <c r="M16" i="6"/>
  <c r="M15" i="6"/>
  <c r="O37" i="6"/>
  <c r="N37" i="6"/>
  <c r="M37" i="6"/>
  <c r="O36" i="6"/>
  <c r="N36" i="6"/>
  <c r="M36" i="6"/>
  <c r="O35" i="6"/>
  <c r="N35" i="6"/>
  <c r="M35" i="6"/>
  <c r="G18" i="2"/>
  <c r="G5" i="6"/>
  <c r="M38" i="6" s="1"/>
  <c r="M7" i="6"/>
  <c r="M5" i="6" s="1"/>
  <c r="B19" i="6"/>
  <c r="M3" i="6"/>
  <c r="B18" i="6"/>
  <c r="G27" i="6"/>
  <c r="G29" i="6" s="1"/>
  <c r="G30" i="6" s="1"/>
  <c r="G20" i="6"/>
  <c r="G22" i="6" s="1"/>
  <c r="B8" i="6"/>
  <c r="G12" i="6"/>
  <c r="G13" i="6" s="1"/>
  <c r="G10" i="6"/>
  <c r="G7" i="6"/>
  <c r="G8" i="6" s="1"/>
  <c r="G6" i="6"/>
  <c r="B12" i="6"/>
  <c r="B4" i="6"/>
  <c r="G52" i="6" s="1"/>
  <c r="B43" i="2"/>
  <c r="G40" i="2"/>
  <c r="G52" i="2"/>
  <c r="G50" i="2"/>
  <c r="G17" i="2"/>
  <c r="G15" i="2"/>
  <c r="B2" i="3"/>
  <c r="O38" i="6" l="1"/>
  <c r="N38" i="6"/>
  <c r="G48" i="6"/>
  <c r="G53" i="6" s="1"/>
  <c r="G55" i="6" s="1"/>
  <c r="G57" i="6" s="1"/>
  <c r="J6" i="6"/>
  <c r="G48" i="2"/>
  <c r="G49" i="2"/>
  <c r="D4" i="4"/>
  <c r="K33" i="2"/>
  <c r="G12" i="2"/>
  <c r="G34" i="2" s="1"/>
  <c r="G5" i="2"/>
  <c r="B5" i="2"/>
  <c r="G33" i="2"/>
  <c r="G7" i="2"/>
  <c r="G9" i="2" s="1"/>
  <c r="G10" i="2" s="1"/>
  <c r="G46" i="2"/>
  <c r="G54" i="2" s="1"/>
  <c r="K39" i="2"/>
  <c r="K40" i="2" s="1"/>
  <c r="K21" i="2"/>
  <c r="G19" i="2"/>
  <c r="K29" i="2" s="1"/>
  <c r="B12" i="2"/>
  <c r="B56" i="2"/>
  <c r="C55" i="2"/>
  <c r="B55" i="2"/>
  <c r="B4" i="2"/>
  <c r="G10" i="1"/>
  <c r="B6" i="2"/>
  <c r="G12" i="1"/>
  <c r="G8" i="1"/>
  <c r="G7" i="1"/>
  <c r="G6" i="1"/>
  <c r="G3" i="1"/>
  <c r="G4" i="1" s="1"/>
  <c r="G50" i="6" l="1"/>
  <c r="G22" i="2"/>
  <c r="G21" i="2" s="1"/>
  <c r="G44" i="2"/>
  <c r="G38" i="2"/>
  <c r="K14" i="2" s="1"/>
  <c r="K15" i="2" s="1"/>
  <c r="G13" i="2"/>
  <c r="G6" i="2"/>
  <c r="G4" i="2"/>
  <c r="G23" i="2" l="1"/>
  <c r="G25" i="2" s="1"/>
  <c r="G27" i="2" s="1"/>
  <c r="G55" i="2"/>
  <c r="G26" i="2" l="1"/>
  <c r="G29" i="2" s="1"/>
  <c r="G30" i="2"/>
  <c r="G20" i="2"/>
  <c r="G35" i="2"/>
  <c r="K5" i="2" s="1"/>
  <c r="K7" i="2" s="1"/>
  <c r="K9" i="2" l="1"/>
  <c r="K8" i="2"/>
  <c r="K11" i="2" s="1"/>
  <c r="K12" i="2" s="1"/>
  <c r="G36" i="2"/>
  <c r="K4" i="2" s="1"/>
  <c r="K22" i="2" s="1"/>
  <c r="K23" i="2" s="1"/>
  <c r="K25" i="2" a="1"/>
  <c r="K45" i="2" a="1"/>
  <c r="K44" i="2" a="1"/>
  <c r="K44" i="2" l="1"/>
  <c r="K45" i="2"/>
  <c r="Q5" i="2"/>
  <c r="Q4" i="2"/>
  <c r="B5" i="3"/>
  <c r="K25" i="2"/>
  <c r="K28" i="2" s="1"/>
  <c r="G41" i="2"/>
  <c r="K34" i="2" l="1"/>
  <c r="K42" i="2" s="1"/>
  <c r="K27" i="2"/>
  <c r="K26" i="2"/>
  <c r="G43" i="2" s="1"/>
  <c r="K43" i="2" a="1"/>
  <c r="K43" i="2" l="1"/>
  <c r="K46" i="2" s="1"/>
  <c r="K35" i="2"/>
  <c r="K36" i="2" s="1"/>
  <c r="K37" i="2" s="1"/>
  <c r="K48" i="2" l="1"/>
  <c r="K50" i="2"/>
  <c r="K49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<sst xmlns="http://schemas.openxmlformats.org/spreadsheetml/2006/main" count="505" uniqueCount="351">
  <si>
    <t>Independent Variables</t>
  </si>
  <si>
    <t>Dependent Varaibles</t>
  </si>
  <si>
    <t>Parameter</t>
  </si>
  <si>
    <t>Value</t>
  </si>
  <si>
    <t>Unit</t>
  </si>
  <si>
    <t>Description</t>
  </si>
  <si>
    <t>Rated Power</t>
  </si>
  <si>
    <t>Base Speed</t>
  </si>
  <si>
    <t>Torque Overdesign</t>
  </si>
  <si>
    <t>Speed Overdesign</t>
  </si>
  <si>
    <t>DC Link Voltage</t>
  </si>
  <si>
    <t>Voltage Drop</t>
  </si>
  <si>
    <t>wrm</t>
  </si>
  <si>
    <t>Rated Torque</t>
  </si>
  <si>
    <t>Te-overdesign</t>
  </si>
  <si>
    <t>wrm-overdesign</t>
  </si>
  <si>
    <t>Speed-overdesign</t>
  </si>
  <si>
    <t>Pout-overdesign</t>
  </si>
  <si>
    <t>VLL</t>
  </si>
  <si>
    <t>V</t>
  </si>
  <si>
    <t>RPM</t>
  </si>
  <si>
    <t>kW</t>
  </si>
  <si>
    <t>rad/s</t>
  </si>
  <si>
    <t>Nm</t>
  </si>
  <si>
    <t>Dependent Variables</t>
  </si>
  <si>
    <t>Pout</t>
  </si>
  <si>
    <t>Speed</t>
  </si>
  <si>
    <t>Vt</t>
  </si>
  <si>
    <t>Connection</t>
  </si>
  <si>
    <t>dEff</t>
  </si>
  <si>
    <t>dPF</t>
  </si>
  <si>
    <t>Bav</t>
  </si>
  <si>
    <t>ac</t>
  </si>
  <si>
    <t>Kw</t>
  </si>
  <si>
    <t>Ns</t>
  </si>
  <si>
    <t>ar</t>
  </si>
  <si>
    <t>g_emf</t>
  </si>
  <si>
    <t>g_Prot</t>
  </si>
  <si>
    <t>Kf</t>
  </si>
  <si>
    <t>Qin</t>
  </si>
  <si>
    <t>rps</t>
  </si>
  <si>
    <t>Tout</t>
  </si>
  <si>
    <t>It</t>
  </si>
  <si>
    <t>Iph_rms</t>
  </si>
  <si>
    <t>Ic_rms</t>
  </si>
  <si>
    <t>Vph_rms</t>
  </si>
  <si>
    <t>Vc_rms</t>
  </si>
  <si>
    <t>Ncpph</t>
  </si>
  <si>
    <t>G</t>
  </si>
  <si>
    <t>D2L</t>
  </si>
  <si>
    <t>g-offer</t>
  </si>
  <si>
    <t>tau_p</t>
  </si>
  <si>
    <t>L</t>
  </si>
  <si>
    <t>Rated Output Power</t>
  </si>
  <si>
    <t>rpm</t>
  </si>
  <si>
    <t>Rated Speed</t>
  </si>
  <si>
    <t>Line to Line Terminal Voltage (RMS)</t>
  </si>
  <si>
    <t>Winding Connection Type</t>
  </si>
  <si>
    <t>Desired Efficiency</t>
  </si>
  <si>
    <t>Desired Power Factor</t>
  </si>
  <si>
    <t>Magnetic Loading</t>
  </si>
  <si>
    <t>T</t>
  </si>
  <si>
    <t>kA/m</t>
  </si>
  <si>
    <t>Electrical Loading</t>
  </si>
  <si>
    <t>Winding Factor</t>
  </si>
  <si>
    <t>Number of poles</t>
  </si>
  <si>
    <t>Number of stator slots</t>
  </si>
  <si>
    <t>Ratio of stack length to pole pitch</t>
  </si>
  <si>
    <t>Eph/Vph</t>
  </si>
  <si>
    <t>Prot/Pout</t>
  </si>
  <si>
    <t>Slot fill factor</t>
  </si>
  <si>
    <t>Number of parallel paths in winding</t>
  </si>
  <si>
    <t>Np</t>
  </si>
  <si>
    <t>Input KVA</t>
  </si>
  <si>
    <t>kVA</t>
  </si>
  <si>
    <t>A</t>
  </si>
  <si>
    <t>Rated speed</t>
  </si>
  <si>
    <t>Output Torque</t>
  </si>
  <si>
    <t>Terminal Current</t>
  </si>
  <si>
    <t>Phase Current</t>
  </si>
  <si>
    <t>Coil Current</t>
  </si>
  <si>
    <t>Phase voltage</t>
  </si>
  <si>
    <t>Coil voltage</t>
  </si>
  <si>
    <t>Number of coils per phase</t>
  </si>
  <si>
    <t>Output Constant</t>
  </si>
  <si>
    <t>Volume product</t>
  </si>
  <si>
    <t>J/m^3</t>
  </si>
  <si>
    <t>mm^3</t>
  </si>
  <si>
    <t xml:space="preserve">mm </t>
  </si>
  <si>
    <t>D</t>
  </si>
  <si>
    <t>mm</t>
  </si>
  <si>
    <t>Bore diameter</t>
  </si>
  <si>
    <t>An offer for the air gap length</t>
  </si>
  <si>
    <t>Pole pitch</t>
  </si>
  <si>
    <t>Stack Lengths</t>
  </si>
  <si>
    <t>Lend</t>
  </si>
  <si>
    <t>End length of conductor before bending</t>
  </si>
  <si>
    <t>Bst</t>
  </si>
  <si>
    <t>Bsy</t>
  </si>
  <si>
    <t>Bry</t>
  </si>
  <si>
    <t>Jsw</t>
  </si>
  <si>
    <t>A/mm^2</t>
  </si>
  <si>
    <t>Maximum Flux Density in stator tooth</t>
  </si>
  <si>
    <t>Maximum Flux Density in stator yoke</t>
  </si>
  <si>
    <t>Maximum Flux Density in rotor yoke</t>
  </si>
  <si>
    <t>Stator windings current density</t>
  </si>
  <si>
    <t>Ki</t>
  </si>
  <si>
    <t>Stacking factor (Iron factor)</t>
  </si>
  <si>
    <t>Thickness of lamination</t>
  </si>
  <si>
    <t>Air gap length</t>
  </si>
  <si>
    <t>g</t>
  </si>
  <si>
    <t>Br</t>
  </si>
  <si>
    <t>Remanence flux density of magnets</t>
  </si>
  <si>
    <t>phi_total</t>
  </si>
  <si>
    <t>mWb</t>
  </si>
  <si>
    <t>Total air gap flux</t>
  </si>
  <si>
    <t>phi_tooth_max</t>
  </si>
  <si>
    <t>phi_pole</t>
  </si>
  <si>
    <t>Stator tooth flux</t>
  </si>
  <si>
    <t>Pole flux</t>
  </si>
  <si>
    <t>wst</t>
  </si>
  <si>
    <t>wsy</t>
  </si>
  <si>
    <t>wry</t>
  </si>
  <si>
    <t>Width of stator tooth</t>
  </si>
  <si>
    <t>Width of stator yoke</t>
  </si>
  <si>
    <t>Width of rotor yoke</t>
  </si>
  <si>
    <t>f</t>
  </si>
  <si>
    <t>Eph</t>
  </si>
  <si>
    <t>Ntph_ig</t>
  </si>
  <si>
    <t>Ntc_ig</t>
  </si>
  <si>
    <t>cAsc_ig</t>
  </si>
  <si>
    <t>Hz</t>
  </si>
  <si>
    <t>mm^2</t>
  </si>
  <si>
    <t>Rated frequency of supply</t>
  </si>
  <si>
    <t>Phase back EMF</t>
  </si>
  <si>
    <t>Number of phase turns (initial guess)</t>
  </si>
  <si>
    <t>Number of turns in single coil (initial guess)</t>
  </si>
  <si>
    <t>copper area of single conductor (initial guess)</t>
  </si>
  <si>
    <t>star</t>
  </si>
  <si>
    <t>delta</t>
  </si>
  <si>
    <t>Input</t>
  </si>
  <si>
    <t>Design Variable</t>
  </si>
  <si>
    <t>Objective</t>
  </si>
  <si>
    <t>Max Value</t>
  </si>
  <si>
    <t>Min Value</t>
  </si>
  <si>
    <t>Calculation Points</t>
  </si>
  <si>
    <t>Kl</t>
  </si>
  <si>
    <t>Kr</t>
  </si>
  <si>
    <t>Hc</t>
  </si>
  <si>
    <t>Hm</t>
  </si>
  <si>
    <t>bs0</t>
  </si>
  <si>
    <t>hs0</t>
  </si>
  <si>
    <t>hs1</t>
  </si>
  <si>
    <t>Tamb</t>
  </si>
  <si>
    <t>Tr</t>
  </si>
  <si>
    <t>C</t>
  </si>
  <si>
    <t>Ambient Temp</t>
  </si>
  <si>
    <t>Temp rise</t>
  </si>
  <si>
    <t>Slot depth</t>
  </si>
  <si>
    <t>Slot opening width</t>
  </si>
  <si>
    <t>slot opening height</t>
  </si>
  <si>
    <t>Leakage Factor, 0.9-1</t>
  </si>
  <si>
    <t>Relucatance Factor, 1-1.2</t>
  </si>
  <si>
    <t>Coercitivity Force</t>
  </si>
  <si>
    <t>Assumed working MMF of magnet</t>
  </si>
  <si>
    <t>gammas</t>
  </si>
  <si>
    <t>bs1</t>
  </si>
  <si>
    <t>Kcs</t>
  </si>
  <si>
    <t>tau_u</t>
  </si>
  <si>
    <t>Kgs</t>
  </si>
  <si>
    <t>ge</t>
  </si>
  <si>
    <t>Bg60</t>
  </si>
  <si>
    <t>Hg60</t>
  </si>
  <si>
    <t>muM</t>
  </si>
  <si>
    <t>rad</t>
  </si>
  <si>
    <t>slot pitch angle</t>
  </si>
  <si>
    <t>slot openning width</t>
  </si>
  <si>
    <t>Carter factor</t>
  </si>
  <si>
    <t>Stator slot pitch</t>
  </si>
  <si>
    <t>Reluctance ratio</t>
  </si>
  <si>
    <t>Effective airgap length</t>
  </si>
  <si>
    <t>A/m</t>
  </si>
  <si>
    <t>F/m</t>
  </si>
  <si>
    <t>Air gap flux density at 60 degrees</t>
  </si>
  <si>
    <t>Air gap magnetic field at 60 degrees</t>
  </si>
  <si>
    <t>Permeability of magnet</t>
  </si>
  <si>
    <t>Ntc</t>
  </si>
  <si>
    <t>Ntph</t>
  </si>
  <si>
    <t>phi_tooth</t>
  </si>
  <si>
    <t>Lstk</t>
  </si>
  <si>
    <t>Nlammination</t>
  </si>
  <si>
    <t>cAca_ig</t>
  </si>
  <si>
    <t>gAca_ig</t>
  </si>
  <si>
    <t>SWG #</t>
  </si>
  <si>
    <t>SWG diameter</t>
  </si>
  <si>
    <t>SWG area</t>
  </si>
  <si>
    <t>cAsc</t>
  </si>
  <si>
    <t>cAca</t>
  </si>
  <si>
    <t>gAca</t>
  </si>
  <si>
    <t>Number of turns in single coil (updated)</t>
  </si>
  <si>
    <t>Number of turns in phase (updated)</t>
  </si>
  <si>
    <t>Tooth flux</t>
  </si>
  <si>
    <t>Stack length (updated)</t>
  </si>
  <si>
    <t>Number of laminations</t>
  </si>
  <si>
    <t>copper Area of coil arm (initial guess)</t>
  </si>
  <si>
    <t>gross Area of coil arm (initial guess)</t>
  </si>
  <si>
    <t>copper Area of single conductor (updated)</t>
  </si>
  <si>
    <t>copper Area of coil arm (updated)</t>
  </si>
  <si>
    <t>gross Area of coil arm (updated)</t>
  </si>
  <si>
    <t>hs2</t>
  </si>
  <si>
    <t>bs2</t>
  </si>
  <si>
    <t>Do</t>
  </si>
  <si>
    <t>Dsh</t>
  </si>
  <si>
    <t>Do/Lstk</t>
  </si>
  <si>
    <t>Span</t>
  </si>
  <si>
    <t>Lmt</t>
  </si>
  <si>
    <t>Rc</t>
  </si>
  <si>
    <t>Rph</t>
  </si>
  <si>
    <t>Pcu</t>
  </si>
  <si>
    <t>ohm</t>
  </si>
  <si>
    <t>W</t>
  </si>
  <si>
    <t>slot depth</t>
  </si>
  <si>
    <t>slot bottom width</t>
  </si>
  <si>
    <t>alpha_s</t>
  </si>
  <si>
    <t>beta_s</t>
  </si>
  <si>
    <t>hs22</t>
  </si>
  <si>
    <t>Bm</t>
  </si>
  <si>
    <t>dm_ROUGH</t>
  </si>
  <si>
    <t>wm_ROUGH</t>
  </si>
  <si>
    <t>depth of magnet</t>
  </si>
  <si>
    <t>width of magnet</t>
  </si>
  <si>
    <t>KgCopper</t>
  </si>
  <si>
    <t>KgStatorCore</t>
  </si>
  <si>
    <t>KgRotorCore</t>
  </si>
  <si>
    <t>KgActiveparts</t>
  </si>
  <si>
    <t>KgMagnets</t>
  </si>
  <si>
    <t>Torque Density</t>
  </si>
  <si>
    <t>Tuned Variables</t>
  </si>
  <si>
    <t>Rounding Flag</t>
  </si>
  <si>
    <t>p</t>
  </si>
  <si>
    <t>Copper Resistivity at 120*C</t>
  </si>
  <si>
    <t>Copper Resistivity at 20*C</t>
  </si>
  <si>
    <t>ohm-m</t>
  </si>
  <si>
    <t>md_copper</t>
  </si>
  <si>
    <t>md_es</t>
  </si>
  <si>
    <t>md_magnets</t>
  </si>
  <si>
    <t>kg/m^3</t>
  </si>
  <si>
    <t>Temp Coefficient for copper resistance</t>
  </si>
  <si>
    <t>ohm-mm</t>
  </si>
  <si>
    <t>Nm/Kg</t>
  </si>
  <si>
    <t>kW/Kg</t>
  </si>
  <si>
    <t>Tuned Variables - 2</t>
  </si>
  <si>
    <t>Motor Constant</t>
  </si>
  <si>
    <t>Cell reference</t>
  </si>
  <si>
    <t>Parameter Name</t>
  </si>
  <si>
    <t>B16</t>
  </si>
  <si>
    <t>B15</t>
  </si>
  <si>
    <t>KgActiveParts</t>
  </si>
  <si>
    <t>Copper Loss</t>
  </si>
  <si>
    <t>I62</t>
  </si>
  <si>
    <t>Iron losses</t>
  </si>
  <si>
    <t>K46</t>
  </si>
  <si>
    <t>K37</t>
  </si>
  <si>
    <t>Nm = 6, Ns = 8</t>
  </si>
  <si>
    <t>Nm = 6, Ns = 10</t>
  </si>
  <si>
    <t>Nm = 6, Ns = 12</t>
  </si>
  <si>
    <t>Nm = 8, Ns = 10</t>
  </si>
  <si>
    <t>Nm = 8, Ns = 12</t>
  </si>
  <si>
    <t>Nm = 8, Ns = 14</t>
  </si>
  <si>
    <t>Nm = 10, Ns = 12</t>
  </si>
  <si>
    <t>Nm = 10, Ns = 14</t>
  </si>
  <si>
    <t>Nm = 10, Ns = 16</t>
  </si>
  <si>
    <t>kg/mm^3</t>
  </si>
  <si>
    <t>dm_estimated</t>
  </si>
  <si>
    <t>wm_estimated</t>
  </si>
  <si>
    <t>Working points for magnets</t>
  </si>
  <si>
    <t>Nm = 10, Ns = 18</t>
  </si>
  <si>
    <t>slot pitch</t>
  </si>
  <si>
    <t>Derived Constants</t>
  </si>
  <si>
    <t>DsID</t>
  </si>
  <si>
    <t>DrOD</t>
  </si>
  <si>
    <t>DsOD</t>
  </si>
  <si>
    <t>DshOD</t>
  </si>
  <si>
    <t>Power</t>
  </si>
  <si>
    <t>Efficiency</t>
  </si>
  <si>
    <t>%</t>
  </si>
  <si>
    <t>Power lost</t>
  </si>
  <si>
    <t>Stator slots</t>
  </si>
  <si>
    <t>Rotor Poles</t>
  </si>
  <si>
    <t>slot angle</t>
  </si>
  <si>
    <t>edeg</t>
  </si>
  <si>
    <t>deg</t>
  </si>
  <si>
    <t>pole pitch</t>
  </si>
  <si>
    <t>Circum_st_ID</t>
  </si>
  <si>
    <t>zones</t>
  </si>
  <si>
    <t>slots/zone</t>
  </si>
  <si>
    <t>if q -&gt; integer =&gt;distributed winding</t>
  </si>
  <si>
    <t>if q -&gt; fractional =&gt;fractional winding</t>
  </si>
  <si>
    <t>Machine Electrical Loading</t>
  </si>
  <si>
    <t>Nph</t>
  </si>
  <si>
    <t>Voltage</t>
  </si>
  <si>
    <t>Voltage =&gt; 70%SoC</t>
  </si>
  <si>
    <t>Max Current Draw</t>
  </si>
  <si>
    <t>Approximation</t>
  </si>
  <si>
    <t>Grade of copper</t>
  </si>
  <si>
    <t>relative to pure Cu</t>
  </si>
  <si>
    <t>Current density</t>
  </si>
  <si>
    <t>A/m^2</t>
  </si>
  <si>
    <t>Actual density</t>
  </si>
  <si>
    <t>m^2</t>
  </si>
  <si>
    <t>New Area</t>
  </si>
  <si>
    <t>Total cross section area of windings</t>
  </si>
  <si>
    <t>mm^2/phase</t>
  </si>
  <si>
    <t>Total Area of Copper</t>
  </si>
  <si>
    <t>Number of parallel windings</t>
  </si>
  <si>
    <t>Effective Resistance</t>
  </si>
  <si>
    <t>Length of Stack</t>
  </si>
  <si>
    <t>Rotor CSA</t>
  </si>
  <si>
    <t>Rotor Tip Speed</t>
  </si>
  <si>
    <t>3000RPM to rad/s</t>
  </si>
  <si>
    <t>m/s</t>
  </si>
  <si>
    <t>Copper R</t>
  </si>
  <si>
    <t>Slot Fill Factor</t>
  </si>
  <si>
    <t>Total Area of slot</t>
  </si>
  <si>
    <t>Npps</t>
  </si>
  <si>
    <t>slots/phase</t>
  </si>
  <si>
    <t>Area per slot</t>
  </si>
  <si>
    <t>Total area of Stator</t>
  </si>
  <si>
    <t>Total area of Slots</t>
  </si>
  <si>
    <t>Effective Area of Stator Core</t>
  </si>
  <si>
    <t>Diameter of Stator Yoke from centre</t>
  </si>
  <si>
    <t>New Wires</t>
  </si>
  <si>
    <t>Opt1</t>
  </si>
  <si>
    <t>Opt2</t>
  </si>
  <si>
    <t>Opt3</t>
  </si>
  <si>
    <t>SWG22</t>
  </si>
  <si>
    <t>SWG21</t>
  </si>
  <si>
    <t>SWG20</t>
  </si>
  <si>
    <t>Insulated D</t>
  </si>
  <si>
    <t>New Area/cond</t>
  </si>
  <si>
    <t>CSA Requirement</t>
  </si>
  <si>
    <t>CSA in mm^2</t>
  </si>
  <si>
    <t>47.5mm^2</t>
  </si>
  <si>
    <t>turns/phase</t>
  </si>
  <si>
    <t>Wb</t>
  </si>
  <si>
    <t>Turns per slot</t>
  </si>
  <si>
    <t>Area of Cu/conductor</t>
  </si>
  <si>
    <t>Total Area of copper</t>
  </si>
  <si>
    <t>pole pitch = Slots per pole</t>
  </si>
  <si>
    <t>coil span = no. of slots between coil</t>
  </si>
  <si>
    <t>Winding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</si>
</sst>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4" x14ac:knownFonts="1">
    <font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sz val="10"/>
      <color rgb="FF222222"/>
      <name val="Arial"/>
      <family val="2"/>
    </font>
    <font>
      <sz val="9"/>
      <color rgb="FF20212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7">
    <xf numFmtId="0" fontId="0" fillId="0" borderId="0" xfId="0"/>
    <xf numFmtId="0" fontId="0" fillId="0" borderId="1" xfId="0" applyBorder="1"/>
    <xf numFmtId="0" fontId="0" fillId="2" borderId="2" xfId="0" applyFill="1" applyBorder="1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4" borderId="3" xfId="0" applyFill="1" applyBorder="1"/>
    <xf numFmtId="9" fontId="0" fillId="2" borderId="0" xfId="0" applyNumberFormat="1" applyFill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3" borderId="5" xfId="0" applyFill="1" applyBorder="1"/>
    <xf numFmtId="0" fontId="0" fillId="0" borderId="6" xfId="0" applyBorder="1"/>
    <xf numFmtId="0" fontId="0" fillId="4" borderId="5" xfId="0" applyFill="1" applyBorder="1"/>
    <xf numFmtId="0" fontId="0" fillId="4" borderId="6" xfId="0" applyFill="1" applyBorder="1"/>
    <xf numFmtId="0" fontId="0" fillId="3" borderId="2" xfId="0" applyFill="1" applyBorder="1"/>
    <xf numFmtId="0" fontId="0" fillId="3" borderId="3" xfId="0" applyFill="1" applyBorder="1"/>
    <xf numFmtId="0" fontId="0" fillId="3" borderId="4" xfId="0" applyFill="1" applyBorder="1"/>
    <xf numFmtId="0" fontId="0" fillId="3" borderId="6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6" xfId="0" applyFill="1" applyBorder="1"/>
    <xf numFmtId="11" fontId="0" fillId="3" borderId="5" xfId="0" applyNumberFormat="1" applyFill="1" applyBorder="1"/>
    <xf numFmtId="11" fontId="0" fillId="0" borderId="0" xfId="0" applyNumberFormat="1"/>
    <xf numFmtId="0" fontId="0" fillId="0" borderId="0" xfId="0" applyAlignment="1">
      <alignment horizontal="center" wrapText="1"/>
    </xf>
    <xf numFmtId="11" fontId="0" fillId="4" borderId="0" xfId="0" applyNumberFormat="1" applyFill="1"/>
    <xf numFmtId="11" fontId="0" fillId="4" borderId="5" xfId="0" applyNumberFormat="1" applyFill="1" applyBorder="1"/>
    <xf numFmtId="0" fontId="0" fillId="5" borderId="2" xfId="0" applyFill="1" applyBorder="1"/>
    <xf numFmtId="0" fontId="0" fillId="5" borderId="0" xfId="0" applyFill="1"/>
    <xf numFmtId="0" fontId="0" fillId="5" borderId="3" xfId="0" applyFill="1" applyBorder="1"/>
    <xf numFmtId="0" fontId="2" fillId="0" borderId="0" xfId="0" applyFont="1"/>
    <xf numFmtId="0" fontId="0" fillId="0" borderId="0" xfId="0" applyAlignment="1">
      <alignment wrapText="1"/>
    </xf>
    <xf numFmtId="0" fontId="3" fillId="0" borderId="0" xfId="0" applyFont="1"/>
    <xf numFmtId="164" fontId="0" fillId="0" borderId="0" xfId="0" applyNumberFormat="1"/>
    <xf numFmtId="2" fontId="0" fillId="0" borderId="0" xfId="0" applyNumberFormat="1"/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2" borderId="7" xfId="0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4" borderId="8" xfId="0" applyFill="1" applyBorder="1" applyAlignment="1">
      <alignment horizontal="center"/>
    </xf>
    <xf numFmtId="0" fontId="0" fillId="4" borderId="9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SensitivityAnalysis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SensitivityAnalysis!$D$1</c:f>
              <c:strCache>
                <c:ptCount val="1"/>
                <c:pt idx="0">
                  <c:v>Design Variable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SensitivityAnalysis!$D$2:$D$21</c:f>
              <c:numCache>
                <c:formatCode>General</c:formatCode>
                <c:ptCount val="2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6F-4ED8-85D0-59A930B909D1}"/>
            </c:ext>
          </c:extLst>
        </c:ser>
        <c:ser>
          <c:idx val="1"/>
          <c:order val="1"/>
          <c:tx>
            <c:strRef>
              <c:f>SensitivityAnalysis!$E$1</c:f>
              <c:strCache>
                <c:ptCount val="1"/>
                <c:pt idx="0">
                  <c:v>Objective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SensitivityAnalysis!$E$2:$E$21</c:f>
              <c:numCache>
                <c:formatCode>General</c:formatCode>
                <c:ptCount val="2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56F-4ED8-85D0-59A930B909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8713408"/>
        <c:axId val="158713888"/>
      </c:lineChart>
      <c:catAx>
        <c:axId val="15871340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713888"/>
        <c:crosses val="autoZero"/>
        <c:auto val="1"/>
        <c:lblAlgn val="ctr"/>
        <c:lblOffset val="100"/>
        <c:noMultiLvlLbl val="0"/>
      </c:catAx>
      <c:valAx>
        <c:axId val="158713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713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10</xdr:row>
      <xdr:rowOff>0</xdr:rowOff>
    </xdr:from>
    <xdr:to>
      <xdr:col>24</xdr:col>
      <xdr:colOff>364007</xdr:colOff>
      <xdr:row>12</xdr:row>
      <xdr:rowOff>36772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28858" y="1911927"/>
          <a:ext cx="9774014" cy="41915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99753</xdr:colOff>
      <xdr:row>6</xdr:row>
      <xdr:rowOff>170411</xdr:rowOff>
    </xdr:from>
    <xdr:to>
      <xdr:col>14</xdr:col>
      <xdr:colOff>16625</xdr:colOff>
      <xdr:row>21</xdr:row>
      <xdr:rowOff>45720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8313</xdr:colOff>
          <xdr:row>7</xdr:row>
          <xdr:rowOff>58189</xdr:rowOff>
        </xdr:from>
        <xdr:to>
          <xdr:col>1</xdr:col>
          <xdr:colOff>581891</xdr:colOff>
          <xdr:row>7</xdr:row>
          <xdr:rowOff>149629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382385</xdr:colOff>
          <xdr:row>0</xdr:row>
          <xdr:rowOff>99753</xdr:rowOff>
        </xdr:from>
        <xdr:to>
          <xdr:col>4</xdr:col>
          <xdr:colOff>507076</xdr:colOff>
          <xdr:row>1</xdr:row>
          <xdr:rowOff>149629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01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622EF53D-9562-4615-9946-18F75AC5C7FD}">
  <we:reference id="wa200001657" version="1.0.0.0" store="en-US" storeType="OMEX"/>
  <we:alternateReferences>
    <we:reference id="WA200001657" version="1.0.0.0" store="WA200001657" storeType="OMEX"/>
  </we:alternateReferences>
  <we:properties/>
  <we:bindings/>
  <we:snapshot xmlns:r="http://schemas.openxmlformats.org/officeDocument/2006/relationships"/>
</we:webextension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4CAF8D-AD0F-4C0B-A192-793FDDEFD3E2}">
  <sheetPr codeName="Sheet1"/>
  <dimension ref="A1:I14"/>
  <sheetViews>
    <sheetView zoomScale="130" zoomScaleNormal="130" workbookViewId="0">
      <selection activeCell="F24" sqref="F24"/>
    </sheetView>
  </sheetViews>
  <sheetFormatPr defaultRowHeight="15.05" x14ac:dyDescent="0.3"/>
  <cols>
    <col min="1" max="1" width="15.21875" bestFit="1" customWidth="1"/>
    <col min="4" max="4" width="9.88671875" bestFit="1" customWidth="1"/>
    <col min="6" max="6" width="14.77734375" bestFit="1" customWidth="1"/>
    <col min="9" max="9" width="9.88671875" bestFit="1" customWidth="1"/>
  </cols>
  <sheetData>
    <row r="1" spans="1:9" x14ac:dyDescent="0.3">
      <c r="A1" s="36" t="s">
        <v>0</v>
      </c>
      <c r="B1" s="36"/>
      <c r="C1" s="36"/>
      <c r="D1" s="36"/>
      <c r="F1" s="37" t="s">
        <v>1</v>
      </c>
      <c r="G1" s="37"/>
      <c r="H1" s="37"/>
      <c r="I1" s="37"/>
    </row>
    <row r="2" spans="1:9" x14ac:dyDescent="0.3">
      <c r="A2" s="3" t="s">
        <v>2</v>
      </c>
      <c r="B2" s="3" t="s">
        <v>3</v>
      </c>
      <c r="C2" s="3" t="s">
        <v>4</v>
      </c>
      <c r="D2" s="3" t="s">
        <v>5</v>
      </c>
      <c r="F2" s="4" t="s">
        <v>2</v>
      </c>
      <c r="G2" s="4" t="s">
        <v>3</v>
      </c>
      <c r="H2" s="4" t="s">
        <v>4</v>
      </c>
      <c r="I2" s="4" t="s">
        <v>5</v>
      </c>
    </row>
    <row r="3" spans="1:9" x14ac:dyDescent="0.3">
      <c r="A3" s="3"/>
      <c r="B3" s="3"/>
      <c r="C3" s="3"/>
      <c r="D3" s="3"/>
      <c r="F3" s="4" t="s">
        <v>12</v>
      </c>
      <c r="G3" s="4">
        <f>B5*PI()/30</f>
        <v>314.15926535897933</v>
      </c>
      <c r="H3" s="4" t="s">
        <v>22</v>
      </c>
      <c r="I3" s="4"/>
    </row>
    <row r="4" spans="1:9" x14ac:dyDescent="0.3">
      <c r="A4" s="3" t="s">
        <v>6</v>
      </c>
      <c r="B4" s="3">
        <v>9</v>
      </c>
      <c r="C4" s="3" t="s">
        <v>21</v>
      </c>
      <c r="D4" s="3"/>
      <c r="F4" s="4" t="s">
        <v>13</v>
      </c>
      <c r="G4" s="4">
        <f>B4*1000/G3</f>
        <v>28.647889756541161</v>
      </c>
      <c r="H4" s="4" t="s">
        <v>23</v>
      </c>
      <c r="I4" s="4"/>
    </row>
    <row r="5" spans="1:9" x14ac:dyDescent="0.3">
      <c r="A5" s="3" t="s">
        <v>7</v>
      </c>
      <c r="B5" s="3">
        <v>3000</v>
      </c>
      <c r="C5" s="3" t="s">
        <v>20</v>
      </c>
      <c r="D5" s="3"/>
      <c r="F5" s="4"/>
      <c r="G5" s="4"/>
      <c r="H5" s="4"/>
      <c r="I5" s="4"/>
    </row>
    <row r="6" spans="1:9" x14ac:dyDescent="0.3">
      <c r="A6" s="3"/>
      <c r="B6" s="3"/>
      <c r="C6" s="3"/>
      <c r="D6" s="3"/>
      <c r="F6" s="4" t="s">
        <v>14</v>
      </c>
      <c r="G6" s="4">
        <f>(B7+1)*G4</f>
        <v>32.94507322002233</v>
      </c>
      <c r="H6" s="4" t="s">
        <v>23</v>
      </c>
      <c r="I6" s="4"/>
    </row>
    <row r="7" spans="1:9" x14ac:dyDescent="0.3">
      <c r="A7" s="3" t="s">
        <v>8</v>
      </c>
      <c r="B7" s="7">
        <v>0.15</v>
      </c>
      <c r="C7" s="3"/>
      <c r="D7" s="3"/>
      <c r="F7" s="4" t="s">
        <v>15</v>
      </c>
      <c r="G7" s="4">
        <f>(B8+1)*G3</f>
        <v>376.9911184307752</v>
      </c>
      <c r="H7" s="4" t="s">
        <v>22</v>
      </c>
      <c r="I7" s="4"/>
    </row>
    <row r="8" spans="1:9" x14ac:dyDescent="0.3">
      <c r="A8" s="3" t="s">
        <v>9</v>
      </c>
      <c r="B8" s="7">
        <v>0.2</v>
      </c>
      <c r="C8" s="3"/>
      <c r="D8" s="3"/>
      <c r="F8" s="4" t="s">
        <v>16</v>
      </c>
      <c r="G8" s="4">
        <f>G7*30/PI()</f>
        <v>3600.0000000000005</v>
      </c>
      <c r="H8" s="4" t="s">
        <v>20</v>
      </c>
      <c r="I8" s="4"/>
    </row>
    <row r="9" spans="1:9" x14ac:dyDescent="0.3">
      <c r="A9" s="3"/>
      <c r="B9" s="3"/>
      <c r="C9" s="3"/>
      <c r="D9" s="3"/>
      <c r="F9" s="4"/>
      <c r="G9" s="4"/>
      <c r="H9" s="4"/>
      <c r="I9" s="4"/>
    </row>
    <row r="10" spans="1:9" x14ac:dyDescent="0.3">
      <c r="A10" s="3" t="s">
        <v>10</v>
      </c>
      <c r="B10" s="3">
        <v>72</v>
      </c>
      <c r="C10" s="3" t="s">
        <v>19</v>
      </c>
      <c r="D10" s="3"/>
      <c r="F10" s="4" t="s">
        <v>17</v>
      </c>
      <c r="G10" s="4">
        <f>G6*G7/1000</f>
        <v>12.419999999999998</v>
      </c>
      <c r="H10" s="4" t="s">
        <v>21</v>
      </c>
      <c r="I10" s="4"/>
    </row>
    <row r="11" spans="1:9" x14ac:dyDescent="0.3">
      <c r="A11" s="3" t="s">
        <v>11</v>
      </c>
      <c r="B11" s="3">
        <v>4</v>
      </c>
      <c r="C11" s="3" t="s">
        <v>19</v>
      </c>
      <c r="D11" s="3"/>
      <c r="F11" s="4"/>
      <c r="G11" s="4"/>
      <c r="H11" s="4"/>
      <c r="I11" s="4"/>
    </row>
    <row r="12" spans="1:9" x14ac:dyDescent="0.3">
      <c r="F12" s="4" t="s">
        <v>18</v>
      </c>
      <c r="G12" s="4">
        <f>(B10-B11)*(SQRT(2)*SQRT(3))/PI()</f>
        <v>53.019382483889984</v>
      </c>
      <c r="H12" s="4" t="s">
        <v>19</v>
      </c>
      <c r="I12" s="4"/>
    </row>
    <row r="13" spans="1:9" x14ac:dyDescent="0.3">
      <c r="F13" s="4" t="s">
        <v>18</v>
      </c>
      <c r="G13" s="4"/>
      <c r="H13" s="4" t="s">
        <v>19</v>
      </c>
      <c r="I13" s="4"/>
    </row>
    <row r="14" spans="1:9" x14ac:dyDescent="0.3">
      <c r="F14" s="4" t="s">
        <v>18</v>
      </c>
      <c r="G14" s="4">
        <v>47.442300000000003</v>
      </c>
      <c r="H14" s="4" t="s">
        <v>19</v>
      </c>
      <c r="I14" s="4"/>
    </row>
  </sheetData>
  <mergeCells count="2">
    <mergeCell ref="A1:D1"/>
    <mergeCell ref="F1:I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2A4327-36DB-4D1E-A4C9-2FC8A20B4589}">
  <sheetPr codeName="Sheet2"/>
  <dimension ref="A1:S58"/>
  <sheetViews>
    <sheetView zoomScaleNormal="100" workbookViewId="0">
      <selection activeCell="E15" sqref="E15"/>
    </sheetView>
  </sheetViews>
  <sheetFormatPr defaultRowHeight="15.05" x14ac:dyDescent="0.3"/>
  <cols>
    <col min="1" max="1" width="11.77734375" bestFit="1" customWidth="1"/>
    <col min="2" max="3" width="12" bestFit="1" customWidth="1"/>
    <col min="4" max="4" width="31.5546875" bestFit="1" customWidth="1"/>
    <col min="6" max="6" width="12.21875" bestFit="1" customWidth="1"/>
    <col min="7" max="7" width="12" bestFit="1" customWidth="1"/>
    <col min="8" max="8" width="5.88671875" bestFit="1" customWidth="1"/>
    <col min="9" max="9" width="36.109375" bestFit="1" customWidth="1"/>
    <col min="10" max="10" width="11.77734375" bestFit="1" customWidth="1"/>
    <col min="11" max="11" width="16.21875" customWidth="1"/>
    <col min="12" max="12" width="5.88671875" bestFit="1" customWidth="1"/>
    <col min="13" max="13" width="33.33203125" bestFit="1" customWidth="1"/>
    <col min="14" max="14" width="4.77734375" hidden="1" customWidth="1"/>
    <col min="16" max="16" width="8.6640625" bestFit="1" customWidth="1"/>
    <col min="17" max="17" width="5.21875" bestFit="1" customWidth="1"/>
    <col min="18" max="18" width="4.21875" bestFit="1" customWidth="1"/>
    <col min="19" max="19" width="9.88671875" bestFit="1" customWidth="1"/>
  </cols>
  <sheetData>
    <row r="1" spans="1:19" ht="15.75" thickBot="1" x14ac:dyDescent="0.35">
      <c r="A1" s="38" t="s">
        <v>0</v>
      </c>
      <c r="B1" s="39"/>
      <c r="C1" s="39"/>
      <c r="D1" s="40"/>
      <c r="E1" s="1"/>
      <c r="F1" s="41" t="s">
        <v>24</v>
      </c>
      <c r="G1" s="42"/>
      <c r="H1" s="42"/>
      <c r="I1" s="43"/>
      <c r="J1" s="44" t="s">
        <v>237</v>
      </c>
      <c r="K1" s="45"/>
      <c r="L1" s="45"/>
      <c r="M1" s="46"/>
      <c r="P1" s="44" t="s">
        <v>251</v>
      </c>
      <c r="Q1" s="45"/>
      <c r="R1" s="45"/>
      <c r="S1" s="46"/>
    </row>
    <row r="2" spans="1:19" x14ac:dyDescent="0.3">
      <c r="A2" s="2" t="s">
        <v>2</v>
      </c>
      <c r="B2" s="3" t="s">
        <v>3</v>
      </c>
      <c r="C2" s="3" t="s">
        <v>4</v>
      </c>
      <c r="D2" s="19" t="s">
        <v>5</v>
      </c>
      <c r="F2" s="15" t="s">
        <v>2</v>
      </c>
      <c r="G2" s="4" t="s">
        <v>3</v>
      </c>
      <c r="H2" s="4" t="s">
        <v>4</v>
      </c>
      <c r="I2" s="16" t="s">
        <v>5</v>
      </c>
      <c r="J2" s="5" t="s">
        <v>2</v>
      </c>
      <c r="K2" s="5" t="s">
        <v>3</v>
      </c>
      <c r="L2" s="5" t="s">
        <v>4</v>
      </c>
      <c r="M2" s="6" t="s">
        <v>5</v>
      </c>
      <c r="P2" s="5" t="s">
        <v>2</v>
      </c>
      <c r="Q2" s="5" t="s">
        <v>3</v>
      </c>
      <c r="R2" s="5" t="s">
        <v>4</v>
      </c>
      <c r="S2" s="6" t="s">
        <v>5</v>
      </c>
    </row>
    <row r="3" spans="1:19" x14ac:dyDescent="0.3">
      <c r="A3" s="2"/>
      <c r="B3" s="3"/>
      <c r="C3" s="3"/>
      <c r="D3" s="19"/>
      <c r="F3" s="15"/>
      <c r="G3" s="4"/>
      <c r="H3" s="4"/>
      <c r="I3" s="16"/>
      <c r="J3" s="5"/>
      <c r="K3" s="5"/>
      <c r="L3" s="5"/>
      <c r="M3" s="6"/>
      <c r="N3" t="s">
        <v>138</v>
      </c>
    </row>
    <row r="4" spans="1:19" x14ac:dyDescent="0.3">
      <c r="A4" s="2" t="s">
        <v>25</v>
      </c>
      <c r="B4" s="3">
        <f>'Motor Ratings'!G10</f>
        <v>12.419999999999998</v>
      </c>
      <c r="C4" s="3" t="s">
        <v>21</v>
      </c>
      <c r="D4" s="19" t="s">
        <v>53</v>
      </c>
      <c r="F4" s="15" t="s">
        <v>39</v>
      </c>
      <c r="G4" s="4">
        <f>B4/(B9*B10)</f>
        <v>14.210526315789471</v>
      </c>
      <c r="H4" s="4" t="s">
        <v>74</v>
      </c>
      <c r="I4" s="16" t="s">
        <v>73</v>
      </c>
      <c r="J4" s="5" t="s">
        <v>186</v>
      </c>
      <c r="K4" s="5">
        <f>_xlfn.CEILING.MATH(G36)</f>
        <v>141</v>
      </c>
      <c r="L4" s="5"/>
      <c r="M4" s="6" t="s">
        <v>199</v>
      </c>
      <c r="N4" t="s">
        <v>139</v>
      </c>
      <c r="P4" s="15" t="s">
        <v>120</v>
      </c>
      <c r="Q4">
        <f>K9/(B27*K11*B32)*1000</f>
        <v>3.5568513793969068</v>
      </c>
    </row>
    <row r="5" spans="1:19" x14ac:dyDescent="0.3">
      <c r="A5" s="2" t="s">
        <v>26</v>
      </c>
      <c r="B5" s="3">
        <f>'Motor Ratings'!G8</f>
        <v>3600.0000000000005</v>
      </c>
      <c r="C5" s="3" t="s">
        <v>54</v>
      </c>
      <c r="D5" s="19" t="s">
        <v>55</v>
      </c>
      <c r="F5" s="15" t="s">
        <v>40</v>
      </c>
      <c r="G5" s="4">
        <f>'Motor Ratings'!G7</f>
        <v>376.9911184307752</v>
      </c>
      <c r="H5" s="4" t="s">
        <v>40</v>
      </c>
      <c r="I5" s="16" t="s">
        <v>76</v>
      </c>
      <c r="J5" s="5" t="s">
        <v>187</v>
      </c>
      <c r="K5" s="5">
        <f>_xlfn.CEILING.MATH(G35)</f>
        <v>71</v>
      </c>
      <c r="L5" s="5"/>
      <c r="M5" s="6" t="s">
        <v>200</v>
      </c>
      <c r="P5" s="15" t="s">
        <v>121</v>
      </c>
      <c r="Q5">
        <f>K7*1000/(2*B28*K11*B32)</f>
        <v>7.6218243844219442</v>
      </c>
    </row>
    <row r="6" spans="1:19" x14ac:dyDescent="0.3">
      <c r="A6" s="2" t="s">
        <v>27</v>
      </c>
      <c r="B6" s="3">
        <f>'Motor Ratings'!G14</f>
        <v>47.442300000000003</v>
      </c>
      <c r="C6" s="3" t="s">
        <v>19</v>
      </c>
      <c r="D6" s="19" t="s">
        <v>56</v>
      </c>
      <c r="F6" s="15" t="s">
        <v>41</v>
      </c>
      <c r="G6" s="4">
        <f>'Main Dimensions'!B4*1000/'Main Dimensions'!G5</f>
        <v>32.94507322002233</v>
      </c>
      <c r="H6" s="4" t="s">
        <v>23</v>
      </c>
      <c r="I6" s="16" t="s">
        <v>77</v>
      </c>
      <c r="J6" s="5"/>
      <c r="K6" s="5"/>
      <c r="L6" s="5"/>
      <c r="M6" s="6"/>
      <c r="P6" s="15" t="s">
        <v>122</v>
      </c>
    </row>
    <row r="7" spans="1:19" x14ac:dyDescent="0.3">
      <c r="A7" s="2" t="s">
        <v>28</v>
      </c>
      <c r="B7" s="3" t="s">
        <v>138</v>
      </c>
      <c r="C7" s="3"/>
      <c r="D7" s="19" t="s">
        <v>57</v>
      </c>
      <c r="F7" s="15" t="s">
        <v>42</v>
      </c>
      <c r="G7" s="4">
        <f>B4*1000/(SQRT(3)*B9*B6*B10)</f>
        <v>172.93535924159059</v>
      </c>
      <c r="H7" s="4" t="s">
        <v>75</v>
      </c>
      <c r="I7" s="16" t="s">
        <v>78</v>
      </c>
      <c r="J7" s="5" t="s">
        <v>117</v>
      </c>
      <c r="K7" s="5">
        <f>G34*1000/(4.44*G33*K5)</f>
        <v>0.26356268721331083</v>
      </c>
      <c r="L7" s="5" t="s">
        <v>114</v>
      </c>
      <c r="M7" s="6" t="s">
        <v>119</v>
      </c>
    </row>
    <row r="8" spans="1:19" x14ac:dyDescent="0.3">
      <c r="A8" s="2" t="s">
        <v>238</v>
      </c>
      <c r="B8" s="3" t="b">
        <v>1</v>
      </c>
      <c r="C8" s="3"/>
      <c r="D8" s="19"/>
      <c r="F8" s="15"/>
      <c r="G8" s="4"/>
      <c r="H8" s="4"/>
      <c r="I8" s="16"/>
      <c r="J8" s="5" t="s">
        <v>113</v>
      </c>
      <c r="K8" s="5">
        <f>K7*B16</f>
        <v>2.6356268721331082</v>
      </c>
      <c r="L8" s="5" t="s">
        <v>114</v>
      </c>
      <c r="M8" s="6" t="s">
        <v>115</v>
      </c>
      <c r="P8" s="4"/>
    </row>
    <row r="9" spans="1:19" x14ac:dyDescent="0.3">
      <c r="A9" s="2" t="s">
        <v>29</v>
      </c>
      <c r="B9" s="7">
        <v>0.95</v>
      </c>
      <c r="C9" s="3"/>
      <c r="D9" s="19" t="s">
        <v>58</v>
      </c>
      <c r="F9" s="15" t="s">
        <v>43</v>
      </c>
      <c r="G9" s="4">
        <f>IF(B7="star",G7,G7/SQRT(3))</f>
        <v>172.93535924159059</v>
      </c>
      <c r="H9" s="4" t="s">
        <v>75</v>
      </c>
      <c r="I9" s="16" t="s">
        <v>79</v>
      </c>
      <c r="J9" s="5" t="s">
        <v>188</v>
      </c>
      <c r="K9" s="5">
        <f>K7*SIN(PI()*B16/B17)/2</f>
        <v>6.5890671803327694E-2</v>
      </c>
      <c r="L9" s="5" t="s">
        <v>114</v>
      </c>
      <c r="M9" s="6" t="s">
        <v>201</v>
      </c>
    </row>
    <row r="10" spans="1:19" x14ac:dyDescent="0.3">
      <c r="A10" s="2" t="s">
        <v>30</v>
      </c>
      <c r="B10" s="3">
        <v>0.92</v>
      </c>
      <c r="C10" s="3"/>
      <c r="D10" s="19" t="s">
        <v>59</v>
      </c>
      <c r="F10" s="15" t="s">
        <v>44</v>
      </c>
      <c r="G10" s="4">
        <f>G9/B24</f>
        <v>21.616919905198824</v>
      </c>
      <c r="H10" s="4" t="s">
        <v>75</v>
      </c>
      <c r="I10" s="16" t="s">
        <v>80</v>
      </c>
      <c r="J10" s="5"/>
      <c r="K10" s="5"/>
      <c r="L10" s="5"/>
      <c r="M10" s="6"/>
    </row>
    <row r="11" spans="1:19" x14ac:dyDescent="0.3">
      <c r="A11" s="2"/>
      <c r="B11" s="3"/>
      <c r="C11" s="3"/>
      <c r="D11" s="19"/>
      <c r="F11" s="15"/>
      <c r="G11" s="4"/>
      <c r="H11" s="4"/>
      <c r="I11" s="16"/>
      <c r="J11" s="29" t="s">
        <v>189</v>
      </c>
      <c r="K11" s="29">
        <f>_xlfn.CEILING.MATH(K8*G23/G25)</f>
        <v>13</v>
      </c>
      <c r="L11" s="29" t="s">
        <v>88</v>
      </c>
      <c r="M11" s="30" t="s">
        <v>202</v>
      </c>
    </row>
    <row r="12" spans="1:19" x14ac:dyDescent="0.3">
      <c r="A12" s="2" t="s">
        <v>31</v>
      </c>
      <c r="B12" s="3">
        <f>B56</f>
        <v>0.60478878374920231</v>
      </c>
      <c r="C12" s="3" t="s">
        <v>61</v>
      </c>
      <c r="D12" s="19" t="s">
        <v>60</v>
      </c>
      <c r="F12" s="15" t="s">
        <v>45</v>
      </c>
      <c r="G12" s="4">
        <f>IF(B7="star",B6/SQRT(3),B6)</f>
        <v>27.390824675974986</v>
      </c>
      <c r="H12" s="4" t="s">
        <v>19</v>
      </c>
      <c r="I12" s="16" t="s">
        <v>81</v>
      </c>
      <c r="J12" s="5" t="s">
        <v>190</v>
      </c>
      <c r="K12" s="5">
        <f>_xlfn.CEILING.MATH(K11/B33)</f>
        <v>38</v>
      </c>
      <c r="L12" s="5"/>
      <c r="M12" s="6" t="s">
        <v>203</v>
      </c>
    </row>
    <row r="13" spans="1:19" x14ac:dyDescent="0.3">
      <c r="A13" s="2" t="s">
        <v>32</v>
      </c>
      <c r="B13" s="3">
        <v>40</v>
      </c>
      <c r="C13" s="3" t="s">
        <v>62</v>
      </c>
      <c r="D13" s="19" t="s">
        <v>63</v>
      </c>
      <c r="F13" s="15" t="s">
        <v>46</v>
      </c>
      <c r="G13" s="4">
        <f>G12*B24/G15</f>
        <v>109.56329870389995</v>
      </c>
      <c r="H13" s="4" t="s">
        <v>19</v>
      </c>
      <c r="I13" s="16" t="s">
        <v>82</v>
      </c>
      <c r="J13" s="5"/>
      <c r="K13" s="5"/>
      <c r="L13" s="5"/>
      <c r="M13" s="6"/>
    </row>
    <row r="14" spans="1:19" x14ac:dyDescent="0.3">
      <c r="A14" s="2" t="s">
        <v>33</v>
      </c>
      <c r="B14" s="3">
        <v>0.93300000000000005</v>
      </c>
      <c r="C14" s="3"/>
      <c r="D14" s="19" t="s">
        <v>64</v>
      </c>
      <c r="F14" s="15"/>
      <c r="G14" s="4"/>
      <c r="H14" s="4"/>
      <c r="I14" s="16"/>
      <c r="J14" s="5" t="s">
        <v>191</v>
      </c>
      <c r="K14" s="5">
        <f>G38</f>
        <v>4.8037599789330718</v>
      </c>
      <c r="L14" s="5" t="s">
        <v>132</v>
      </c>
      <c r="M14" s="6" t="s">
        <v>204</v>
      </c>
    </row>
    <row r="15" spans="1:19" x14ac:dyDescent="0.3">
      <c r="A15" s="2"/>
      <c r="B15" s="3"/>
      <c r="C15" s="3"/>
      <c r="D15" s="19"/>
      <c r="F15" s="15" t="s">
        <v>47</v>
      </c>
      <c r="G15" s="4">
        <f>B17/(2*3)</f>
        <v>2</v>
      </c>
      <c r="H15" s="4"/>
      <c r="I15" s="16" t="s">
        <v>83</v>
      </c>
      <c r="J15" s="5" t="s">
        <v>192</v>
      </c>
      <c r="K15" s="5">
        <f>K14/B23</f>
        <v>6.3207368143856204</v>
      </c>
      <c r="L15" s="5" t="s">
        <v>132</v>
      </c>
      <c r="M15" s="6" t="s">
        <v>205</v>
      </c>
    </row>
    <row r="16" spans="1:19" x14ac:dyDescent="0.3">
      <c r="A16" s="2" t="s">
        <v>239</v>
      </c>
      <c r="B16" s="3">
        <v>10</v>
      </c>
      <c r="C16" s="3"/>
      <c r="D16" s="19" t="s">
        <v>65</v>
      </c>
      <c r="F16" s="15"/>
      <c r="G16" s="4"/>
      <c r="H16" s="4"/>
      <c r="I16" s="16"/>
      <c r="J16" s="5"/>
      <c r="K16" s="5"/>
      <c r="L16" s="5"/>
      <c r="M16" s="6"/>
    </row>
    <row r="17" spans="1:13" x14ac:dyDescent="0.3">
      <c r="A17" s="2" t="s">
        <v>34</v>
      </c>
      <c r="B17" s="3">
        <v>12</v>
      </c>
      <c r="C17" s="3"/>
      <c r="D17" s="19" t="s">
        <v>66</v>
      </c>
      <c r="F17" s="15" t="s">
        <v>48</v>
      </c>
      <c r="G17" s="4">
        <f>1.1*PI()^2*B12*B13*B14</f>
        <v>245.04045706881956</v>
      </c>
      <c r="H17" s="4" t="s">
        <v>86</v>
      </c>
      <c r="I17" s="16" t="s">
        <v>84</v>
      </c>
      <c r="J17" s="5" t="s">
        <v>193</v>
      </c>
      <c r="K17" s="5">
        <v>11</v>
      </c>
      <c r="L17" s="5"/>
      <c r="M17" s="6"/>
    </row>
    <row r="18" spans="1:13" x14ac:dyDescent="0.3">
      <c r="A18" s="2"/>
      <c r="B18" s="3"/>
      <c r="C18" s="3"/>
      <c r="D18" s="19"/>
      <c r="F18" s="15" t="s">
        <v>49</v>
      </c>
      <c r="G18" s="4">
        <f>G4*1000000000/(G17*G5)</f>
        <v>153830.07457554672</v>
      </c>
      <c r="H18" s="4" t="s">
        <v>87</v>
      </c>
      <c r="I18" s="16" t="s">
        <v>85</v>
      </c>
      <c r="J18" s="5" t="s">
        <v>194</v>
      </c>
      <c r="K18" s="5">
        <v>2.9460000000000002</v>
      </c>
      <c r="L18" s="5" t="s">
        <v>90</v>
      </c>
      <c r="M18" s="6"/>
    </row>
    <row r="19" spans="1:13" x14ac:dyDescent="0.3">
      <c r="A19" s="2" t="s">
        <v>35</v>
      </c>
      <c r="B19" s="3">
        <v>0.4</v>
      </c>
      <c r="C19" s="3"/>
      <c r="D19" s="19" t="s">
        <v>67</v>
      </c>
      <c r="F19" s="28" t="s">
        <v>89</v>
      </c>
      <c r="G19" s="29">
        <f>_xlfn.CEILING.MATH((B16*G18/(PI()*B19))^(1/3))</f>
        <v>107</v>
      </c>
      <c r="H19" s="29" t="s">
        <v>88</v>
      </c>
      <c r="I19" s="30" t="s">
        <v>91</v>
      </c>
      <c r="J19" s="5" t="s">
        <v>195</v>
      </c>
      <c r="K19" s="5">
        <v>6.8182999999999998</v>
      </c>
      <c r="L19" s="5" t="s">
        <v>132</v>
      </c>
      <c r="M19" s="6"/>
    </row>
    <row r="20" spans="1:13" x14ac:dyDescent="0.3">
      <c r="A20" s="2" t="s">
        <v>36</v>
      </c>
      <c r="B20" s="3">
        <v>0.91</v>
      </c>
      <c r="C20" s="3"/>
      <c r="D20" s="19" t="s">
        <v>68</v>
      </c>
      <c r="F20" s="15" t="s">
        <v>50</v>
      </c>
      <c r="G20" s="4">
        <f>0.2+2*SQRT(G19*G23/1000000)</f>
        <v>0.27740800992145453</v>
      </c>
      <c r="H20" s="4" t="s">
        <v>90</v>
      </c>
      <c r="I20" s="16" t="s">
        <v>92</v>
      </c>
      <c r="J20" s="5"/>
      <c r="K20" s="5"/>
      <c r="L20" s="5"/>
      <c r="M20" s="6"/>
    </row>
    <row r="21" spans="1:13" x14ac:dyDescent="0.3">
      <c r="A21" s="2" t="s">
        <v>37</v>
      </c>
      <c r="B21" s="3"/>
      <c r="C21" s="3"/>
      <c r="D21" s="19" t="s">
        <v>69</v>
      </c>
      <c r="F21" s="15"/>
      <c r="G21" s="4">
        <f>PI()*G19/G22</f>
        <v>10</v>
      </c>
      <c r="H21" s="4"/>
      <c r="I21" s="16"/>
      <c r="J21" s="5" t="s">
        <v>196</v>
      </c>
      <c r="K21" s="5">
        <f>K19</f>
        <v>6.8182999999999998</v>
      </c>
      <c r="L21" s="5" t="s">
        <v>132</v>
      </c>
      <c r="M21" s="6" t="s">
        <v>206</v>
      </c>
    </row>
    <row r="22" spans="1:13" x14ac:dyDescent="0.3">
      <c r="A22" s="2"/>
      <c r="B22" s="3"/>
      <c r="C22" s="3"/>
      <c r="D22" s="19"/>
      <c r="F22" s="15" t="s">
        <v>51</v>
      </c>
      <c r="G22" s="4">
        <f>PI()*G19/B16</f>
        <v>33.615041393410785</v>
      </c>
      <c r="H22" s="4" t="s">
        <v>90</v>
      </c>
      <c r="I22" s="16" t="s">
        <v>93</v>
      </c>
      <c r="J22" s="5" t="s">
        <v>197</v>
      </c>
      <c r="K22" s="5">
        <f>K4*K21</f>
        <v>961.38029999999992</v>
      </c>
      <c r="L22" s="5" t="s">
        <v>132</v>
      </c>
      <c r="M22" s="6" t="s">
        <v>207</v>
      </c>
    </row>
    <row r="23" spans="1:13" x14ac:dyDescent="0.3">
      <c r="A23" s="2" t="s">
        <v>38</v>
      </c>
      <c r="B23" s="3">
        <v>0.76</v>
      </c>
      <c r="C23" s="3"/>
      <c r="D23" s="19" t="s">
        <v>70</v>
      </c>
      <c r="F23" s="15" t="s">
        <v>52</v>
      </c>
      <c r="G23" s="4">
        <f>_xlfn.CEILING.MATH(B19*G22)</f>
        <v>14</v>
      </c>
      <c r="H23" s="4" t="s">
        <v>90</v>
      </c>
      <c r="I23" s="16" t="s">
        <v>94</v>
      </c>
      <c r="J23" s="5" t="s">
        <v>198</v>
      </c>
      <c r="K23" s="5">
        <f>K22/B23</f>
        <v>1264.9740789473683</v>
      </c>
      <c r="L23" s="5" t="s">
        <v>132</v>
      </c>
      <c r="M23" s="6" t="s">
        <v>208</v>
      </c>
    </row>
    <row r="24" spans="1:13" x14ac:dyDescent="0.3">
      <c r="A24" s="2" t="s">
        <v>72</v>
      </c>
      <c r="B24" s="3">
        <v>8</v>
      </c>
      <c r="C24" s="3"/>
      <c r="D24" s="19" t="s">
        <v>71</v>
      </c>
      <c r="F24" s="15"/>
      <c r="G24" s="4"/>
      <c r="H24" s="4"/>
      <c r="I24" s="16"/>
      <c r="J24" s="5"/>
      <c r="K24" s="5"/>
      <c r="L24" s="5"/>
      <c r="M24" s="6"/>
    </row>
    <row r="25" spans="1:13" x14ac:dyDescent="0.3">
      <c r="A25" s="2" t="s">
        <v>95</v>
      </c>
      <c r="B25" s="3">
        <v>10</v>
      </c>
      <c r="C25" s="3" t="s">
        <v>90</v>
      </c>
      <c r="D25" s="19" t="s">
        <v>96</v>
      </c>
      <c r="F25" s="15" t="s">
        <v>113</v>
      </c>
      <c r="G25" s="4">
        <f>PI()*G19*G23*B12*0.001</f>
        <v>2.8462000000000005</v>
      </c>
      <c r="H25" s="4" t="s">
        <v>114</v>
      </c>
      <c r="I25" s="16" t="s">
        <v>115</v>
      </c>
      <c r="J25" s="5" t="s">
        <v>209</v>
      </c>
      <c r="K25" s="5" cm="1">
        <f t="array" ref="K25">calculate_hs2(G19, B44, B45, G29, B17, B27, K23)</f>
        <v>71.131687592247943</v>
      </c>
      <c r="L25" s="5" t="s">
        <v>90</v>
      </c>
      <c r="M25" s="6" t="s">
        <v>221</v>
      </c>
    </row>
    <row r="26" spans="1:13" x14ac:dyDescent="0.3">
      <c r="A26" s="2"/>
      <c r="B26" s="3"/>
      <c r="C26" s="3"/>
      <c r="D26" s="19"/>
      <c r="F26" s="15" t="s">
        <v>116</v>
      </c>
      <c r="G26" s="4">
        <f>G27*SIN(PI()*B16/B17)/2</f>
        <v>7.1154999999999996E-2</v>
      </c>
      <c r="H26" s="4" t="s">
        <v>114</v>
      </c>
      <c r="I26" s="16" t="s">
        <v>118</v>
      </c>
      <c r="J26" s="5" t="s">
        <v>210</v>
      </c>
      <c r="K26" s="5">
        <f>4*K23/(K25-G41)</f>
        <v>122.42516855061412</v>
      </c>
      <c r="L26" s="5" t="s">
        <v>90</v>
      </c>
      <c r="M26" s="6" t="s">
        <v>222</v>
      </c>
    </row>
    <row r="27" spans="1:13" x14ac:dyDescent="0.3">
      <c r="A27" s="2" t="s">
        <v>97</v>
      </c>
      <c r="B27" s="3">
        <v>1.5</v>
      </c>
      <c r="C27" s="3" t="s">
        <v>61</v>
      </c>
      <c r="D27" s="19" t="s">
        <v>102</v>
      </c>
      <c r="F27" s="15" t="s">
        <v>117</v>
      </c>
      <c r="G27" s="4">
        <f>G25/B16</f>
        <v>0.28462000000000004</v>
      </c>
      <c r="H27" s="4" t="s">
        <v>114</v>
      </c>
      <c r="I27" s="16" t="s">
        <v>119</v>
      </c>
      <c r="J27" s="5" t="s">
        <v>225</v>
      </c>
      <c r="K27" s="5">
        <f>(TAN(K39)*(G19/2+B44+B45+K25)-((G29/2)/COS(K39)))/(SIN(K40)+TAN(K39)*(1+COS(K40)))</f>
        <v>26.058624210010347</v>
      </c>
      <c r="L27" s="5" t="s">
        <v>90</v>
      </c>
      <c r="M27" s="6"/>
    </row>
    <row r="28" spans="1:13" x14ac:dyDescent="0.3">
      <c r="A28" s="2" t="s">
        <v>98</v>
      </c>
      <c r="B28" s="3">
        <v>1.4</v>
      </c>
      <c r="C28" s="3" t="s">
        <v>61</v>
      </c>
      <c r="D28" s="19" t="s">
        <v>103</v>
      </c>
      <c r="F28" s="15"/>
      <c r="G28" s="4"/>
      <c r="H28" s="4"/>
      <c r="I28" s="16"/>
      <c r="J28" s="5" t="s">
        <v>211</v>
      </c>
      <c r="K28" s="5">
        <f>G19+2*(K25+G30+B44+B45)</f>
        <v>282.54908947021016</v>
      </c>
      <c r="L28" s="5" t="s">
        <v>90</v>
      </c>
      <c r="M28" s="6"/>
    </row>
    <row r="29" spans="1:13" x14ac:dyDescent="0.3">
      <c r="A29" s="2" t="s">
        <v>99</v>
      </c>
      <c r="B29" s="3">
        <v>1.5</v>
      </c>
      <c r="C29" s="3" t="s">
        <v>61</v>
      </c>
      <c r="D29" s="19" t="s">
        <v>104</v>
      </c>
      <c r="F29" s="15" t="s">
        <v>120</v>
      </c>
      <c r="G29" s="4">
        <f>G26/(B27*G23*B32)*1000</f>
        <v>3.5666666666666669</v>
      </c>
      <c r="H29" s="4" t="s">
        <v>90</v>
      </c>
      <c r="I29" s="16" t="s">
        <v>123</v>
      </c>
      <c r="J29" s="5" t="s">
        <v>212</v>
      </c>
      <c r="K29" s="5">
        <f>G19-(2*(B35+(G57*3)+G31))</f>
        <v>68</v>
      </c>
      <c r="L29" s="5" t="s">
        <v>90</v>
      </c>
      <c r="M29" s="6"/>
    </row>
    <row r="30" spans="1:13" x14ac:dyDescent="0.3">
      <c r="A30" s="2" t="s">
        <v>100</v>
      </c>
      <c r="B30" s="3">
        <v>4.5</v>
      </c>
      <c r="C30" s="3" t="s">
        <v>101</v>
      </c>
      <c r="D30" s="19" t="s">
        <v>105</v>
      </c>
      <c r="F30" s="15" t="s">
        <v>121</v>
      </c>
      <c r="G30" s="4">
        <f>G27*1000/(2*B28*G23*B32)</f>
        <v>7.6428571428571459</v>
      </c>
      <c r="H30" s="4" t="s">
        <v>90</v>
      </c>
      <c r="I30" s="16" t="s">
        <v>124</v>
      </c>
      <c r="J30" s="5"/>
      <c r="K30" s="5"/>
      <c r="L30" s="5"/>
      <c r="M30" s="6"/>
    </row>
    <row r="31" spans="1:13" x14ac:dyDescent="0.3">
      <c r="A31" s="2"/>
      <c r="B31" s="3"/>
      <c r="C31" s="3"/>
      <c r="D31" s="19"/>
      <c r="F31" s="15" t="s">
        <v>122</v>
      </c>
      <c r="G31" s="4">
        <v>10</v>
      </c>
      <c r="H31" s="4" t="s">
        <v>90</v>
      </c>
      <c r="I31" s="16" t="s">
        <v>125</v>
      </c>
      <c r="J31" s="5" t="s">
        <v>213</v>
      </c>
      <c r="K31" s="5"/>
      <c r="L31" s="5"/>
      <c r="M31" s="6"/>
    </row>
    <row r="32" spans="1:13" x14ac:dyDescent="0.3">
      <c r="A32" s="2" t="s">
        <v>106</v>
      </c>
      <c r="B32" s="3">
        <v>0.95</v>
      </c>
      <c r="C32" s="3"/>
      <c r="D32" s="19" t="s">
        <v>107</v>
      </c>
      <c r="F32" s="15"/>
      <c r="G32" s="4"/>
      <c r="H32" s="4"/>
      <c r="I32" s="16"/>
      <c r="J32" s="5"/>
      <c r="K32" s="5"/>
      <c r="L32" s="5"/>
      <c r="M32" s="6"/>
    </row>
    <row r="33" spans="1:13" x14ac:dyDescent="0.3">
      <c r="A33" s="2"/>
      <c r="B33" s="3">
        <v>0.35</v>
      </c>
      <c r="C33" s="3" t="s">
        <v>90</v>
      </c>
      <c r="D33" s="19" t="s">
        <v>108</v>
      </c>
      <c r="F33" s="15" t="s">
        <v>126</v>
      </c>
      <c r="G33" s="4">
        <f>B5*B16/120</f>
        <v>300.00000000000006</v>
      </c>
      <c r="H33" s="4" t="s">
        <v>131</v>
      </c>
      <c r="I33" s="16" t="s">
        <v>133</v>
      </c>
      <c r="J33" s="5" t="s">
        <v>214</v>
      </c>
      <c r="K33" s="5">
        <f>MAX(FLOOR(B17/B16-1,1),1)</f>
        <v>1</v>
      </c>
      <c r="L33" s="5"/>
      <c r="M33" s="6"/>
    </row>
    <row r="34" spans="1:13" x14ac:dyDescent="0.3">
      <c r="A34" s="2"/>
      <c r="B34" s="3"/>
      <c r="C34" s="3"/>
      <c r="D34" s="19"/>
      <c r="F34" s="15" t="s">
        <v>127</v>
      </c>
      <c r="G34" s="4">
        <f>B20*G12</f>
        <v>24.925650455137237</v>
      </c>
      <c r="H34" s="4" t="s">
        <v>19</v>
      </c>
      <c r="I34" s="16" t="s">
        <v>134</v>
      </c>
      <c r="J34" s="5" t="s">
        <v>215</v>
      </c>
      <c r="K34" s="5">
        <f>2*K11+4*B25+2*(G19/2+B44+B45+K25/2)*K33*G40</f>
        <v>168.69431147932909</v>
      </c>
      <c r="L34" s="5" t="s">
        <v>90</v>
      </c>
      <c r="M34" s="6"/>
    </row>
    <row r="35" spans="1:13" x14ac:dyDescent="0.3">
      <c r="A35" s="2" t="s">
        <v>110</v>
      </c>
      <c r="B35" s="3">
        <v>0.5</v>
      </c>
      <c r="C35" s="3" t="s">
        <v>90</v>
      </c>
      <c r="D35" s="19" t="s">
        <v>109</v>
      </c>
      <c r="F35" s="15" t="s">
        <v>128</v>
      </c>
      <c r="G35" s="4">
        <f>1000*G34/(4.44*G33*B14*G27)</f>
        <v>70.468530885410857</v>
      </c>
      <c r="H35" s="4"/>
      <c r="I35" s="16" t="s">
        <v>135</v>
      </c>
      <c r="J35" s="5" t="s">
        <v>216</v>
      </c>
      <c r="K35" s="26">
        <f>K4*('Resitivity Calculations'!F4*K34/K21)</f>
        <v>6.2444828291902489E-2</v>
      </c>
      <c r="L35" s="5" t="s">
        <v>219</v>
      </c>
      <c r="M35" s="6"/>
    </row>
    <row r="36" spans="1:13" x14ac:dyDescent="0.3">
      <c r="A36" s="2"/>
      <c r="B36" s="3"/>
      <c r="C36" s="3"/>
      <c r="D36" s="19"/>
      <c r="F36" s="15" t="s">
        <v>129</v>
      </c>
      <c r="G36" s="4">
        <f>G35*B24/(B17/3)</f>
        <v>140.93706177082171</v>
      </c>
      <c r="H36" s="4"/>
      <c r="I36" s="16" t="s">
        <v>136</v>
      </c>
      <c r="J36" s="5" t="s">
        <v>217</v>
      </c>
      <c r="K36" s="26">
        <f>K35*(B17/3)*(1/B24^2)</f>
        <v>3.9028017682439056E-3</v>
      </c>
      <c r="L36" s="5" t="s">
        <v>219</v>
      </c>
      <c r="M36" s="6"/>
    </row>
    <row r="37" spans="1:13" ht="15.75" thickBot="1" x14ac:dyDescent="0.35">
      <c r="A37" s="2" t="s">
        <v>111</v>
      </c>
      <c r="B37" s="3">
        <v>1.3</v>
      </c>
      <c r="C37" s="3" t="s">
        <v>61</v>
      </c>
      <c r="D37" s="19" t="s">
        <v>112</v>
      </c>
      <c r="F37" s="15"/>
      <c r="G37" s="4"/>
      <c r="H37" s="4"/>
      <c r="I37" s="16"/>
      <c r="J37" s="13" t="s">
        <v>218</v>
      </c>
      <c r="K37" s="27">
        <f>3*K36*G9^2</f>
        <v>350.1590445793027</v>
      </c>
      <c r="L37" s="13" t="s">
        <v>220</v>
      </c>
      <c r="M37" s="14"/>
    </row>
    <row r="38" spans="1:13" x14ac:dyDescent="0.3">
      <c r="A38" s="2" t="s">
        <v>146</v>
      </c>
      <c r="B38" s="3">
        <v>0.9</v>
      </c>
      <c r="C38" s="3"/>
      <c r="D38" s="19" t="s">
        <v>161</v>
      </c>
      <c r="F38" s="15" t="s">
        <v>130</v>
      </c>
      <c r="G38" s="4">
        <f>G10/B30</f>
        <v>4.8037599789330718</v>
      </c>
      <c r="H38" s="4" t="s">
        <v>132</v>
      </c>
      <c r="I38" s="16" t="s">
        <v>137</v>
      </c>
      <c r="M38" s="8"/>
    </row>
    <row r="39" spans="1:13" x14ac:dyDescent="0.3">
      <c r="A39" s="2" t="s">
        <v>147</v>
      </c>
      <c r="B39" s="3">
        <v>1.1499999999999999</v>
      </c>
      <c r="C39" s="3"/>
      <c r="D39" s="19" t="s">
        <v>162</v>
      </c>
      <c r="F39" s="15"/>
      <c r="G39" s="4"/>
      <c r="H39" s="4"/>
      <c r="I39" s="16"/>
      <c r="J39" s="5" t="s">
        <v>223</v>
      </c>
      <c r="K39">
        <f>PI()/B17</f>
        <v>0.26179938779914941</v>
      </c>
      <c r="M39" s="8"/>
    </row>
    <row r="40" spans="1:13" x14ac:dyDescent="0.3">
      <c r="A40" s="2" t="s">
        <v>148</v>
      </c>
      <c r="B40" s="3">
        <v>-1005.3</v>
      </c>
      <c r="C40" s="3" t="s">
        <v>62</v>
      </c>
      <c r="D40" s="19" t="s">
        <v>163</v>
      </c>
      <c r="F40" s="15" t="s">
        <v>165</v>
      </c>
      <c r="G40" s="4">
        <f>2*PI()/B17</f>
        <v>0.52359877559829882</v>
      </c>
      <c r="H40" s="4" t="s">
        <v>174</v>
      </c>
      <c r="I40" s="16" t="s">
        <v>175</v>
      </c>
      <c r="J40" s="5" t="s">
        <v>224</v>
      </c>
      <c r="K40">
        <f>(PI()/2)-K39</f>
        <v>1.3089969389957472</v>
      </c>
      <c r="M40" s="8"/>
    </row>
    <row r="41" spans="1:13" x14ac:dyDescent="0.3">
      <c r="A41" s="2" t="s">
        <v>149</v>
      </c>
      <c r="B41" s="3">
        <v>-200</v>
      </c>
      <c r="C41" s="3" t="s">
        <v>62</v>
      </c>
      <c r="D41" s="19" t="s">
        <v>164</v>
      </c>
      <c r="F41" s="15" t="s">
        <v>166</v>
      </c>
      <c r="G41" s="4">
        <f>2*(TAN(PI()/B17)*(G19/2+B44+B45)-G29/2/COS(PI()/B17))</f>
        <v>29.801164010427708</v>
      </c>
      <c r="H41" s="4" t="s">
        <v>90</v>
      </c>
      <c r="I41" s="16" t="s">
        <v>176</v>
      </c>
      <c r="M41" s="8"/>
    </row>
    <row r="42" spans="1:13" x14ac:dyDescent="0.3">
      <c r="A42" s="2"/>
      <c r="B42" s="3"/>
      <c r="C42" s="3"/>
      <c r="D42" s="19"/>
      <c r="F42" s="15"/>
      <c r="G42" s="4"/>
      <c r="H42" s="4"/>
      <c r="I42" s="16"/>
      <c r="J42" s="5" t="s">
        <v>231</v>
      </c>
      <c r="K42">
        <f>K22*K34*B17*0.000000001*'Resitivity Calculations'!D6</f>
        <v>17.384981652281667</v>
      </c>
      <c r="M42" s="8"/>
    </row>
    <row r="43" spans="1:13" x14ac:dyDescent="0.3">
      <c r="A43" s="2" t="s">
        <v>150</v>
      </c>
      <c r="B43" s="3">
        <f>2.5*K18</f>
        <v>7.3650000000000002</v>
      </c>
      <c r="C43" s="3" t="s">
        <v>90</v>
      </c>
      <c r="D43" s="19" t="s">
        <v>159</v>
      </c>
      <c r="F43" s="15" t="s">
        <v>167</v>
      </c>
      <c r="G43" s="4">
        <f>1/(1+(5*B35/(G41+K26/2)))</f>
        <v>0.97326596307142821</v>
      </c>
      <c r="H43" s="4"/>
      <c r="I43" s="16" t="s">
        <v>177</v>
      </c>
      <c r="J43" s="5" t="s">
        <v>232</v>
      </c>
      <c r="K43" cm="1">
        <f t="array" ref="K43">KgStatorCore(G19, K28, K11, B17, B44, B45, K25, B43, G41, K26, 'Resitivity Calculations'!F7)</f>
        <v>6.2231705108769884</v>
      </c>
      <c r="M43" s="8"/>
    </row>
    <row r="44" spans="1:13" x14ac:dyDescent="0.3">
      <c r="A44" s="2" t="s">
        <v>151</v>
      </c>
      <c r="B44" s="3">
        <v>4</v>
      </c>
      <c r="C44" s="3" t="s">
        <v>90</v>
      </c>
      <c r="D44" s="19" t="s">
        <v>160</v>
      </c>
      <c r="F44" s="15" t="s">
        <v>168</v>
      </c>
      <c r="G44" s="4">
        <f>PI()*G19/B17</f>
        <v>28.012534494508987</v>
      </c>
      <c r="H44" s="4" t="s">
        <v>90</v>
      </c>
      <c r="I44" s="16" t="s">
        <v>178</v>
      </c>
      <c r="J44" s="5" t="s">
        <v>233</v>
      </c>
      <c r="K44" cm="1">
        <f t="array" ref="K44">KgRotorCore(K29, G19, K11, B35, G58, G57, B16,'Resitivity Calculations'!F7)</f>
        <v>0.2850310235839798</v>
      </c>
      <c r="M44" s="8"/>
    </row>
    <row r="45" spans="1:13" x14ac:dyDescent="0.3">
      <c r="A45" s="2" t="s">
        <v>152</v>
      </c>
      <c r="B45" s="3">
        <v>5</v>
      </c>
      <c r="C45" s="3" t="s">
        <v>90</v>
      </c>
      <c r="D45" s="19" t="s">
        <v>158</v>
      </c>
      <c r="F45" s="15" t="s">
        <v>169</v>
      </c>
      <c r="G45" s="4">
        <v>0.7</v>
      </c>
      <c r="H45" s="4"/>
      <c r="I45" s="16" t="s">
        <v>179</v>
      </c>
      <c r="J45" s="5" t="s">
        <v>235</v>
      </c>
      <c r="K45" cm="1">
        <f t="array" ref="K45">KgMagnets(G58, G57, K11, B16, 'Resitivity Calculations'!F8)</f>
        <v>0.23555999999999999</v>
      </c>
      <c r="M45" s="8"/>
    </row>
    <row r="46" spans="1:13" x14ac:dyDescent="0.3">
      <c r="A46" s="2"/>
      <c r="B46" s="3"/>
      <c r="C46" s="3"/>
      <c r="D46" s="19"/>
      <c r="F46" s="15" t="s">
        <v>170</v>
      </c>
      <c r="G46" s="4">
        <f>G45*B35</f>
        <v>0.35</v>
      </c>
      <c r="H46" s="4" t="s">
        <v>90</v>
      </c>
      <c r="I46" s="16" t="s">
        <v>180</v>
      </c>
      <c r="J46" s="5" t="s">
        <v>234</v>
      </c>
      <c r="K46">
        <f>SUM(K42:K45)</f>
        <v>24.128743186742636</v>
      </c>
      <c r="M46" s="8"/>
    </row>
    <row r="47" spans="1:13" x14ac:dyDescent="0.3">
      <c r="A47" s="2" t="s">
        <v>153</v>
      </c>
      <c r="B47" s="3">
        <v>30</v>
      </c>
      <c r="C47" s="3" t="s">
        <v>155</v>
      </c>
      <c r="D47" s="19" t="s">
        <v>156</v>
      </c>
      <c r="F47" s="15"/>
      <c r="G47" s="4"/>
      <c r="H47" s="4"/>
      <c r="I47" s="16"/>
      <c r="M47" s="8"/>
    </row>
    <row r="48" spans="1:13" x14ac:dyDescent="0.3">
      <c r="A48" s="2" t="s">
        <v>154</v>
      </c>
      <c r="B48" s="3">
        <v>90</v>
      </c>
      <c r="C48" s="3" t="s">
        <v>155</v>
      </c>
      <c r="D48" s="19" t="s">
        <v>157</v>
      </c>
      <c r="F48" s="15" t="s">
        <v>171</v>
      </c>
      <c r="G48" s="4">
        <f>ABS(COS(60)*B37)</f>
        <v>1.2381368745397032</v>
      </c>
      <c r="H48" s="4" t="s">
        <v>61</v>
      </c>
      <c r="I48" s="16" t="s">
        <v>183</v>
      </c>
      <c r="J48" s="5" t="s">
        <v>252</v>
      </c>
      <c r="K48" s="24">
        <f>G6/K37</f>
        <v>9.4086026707104101E-2</v>
      </c>
      <c r="M48" s="8"/>
    </row>
    <row r="49" spans="1:13" ht="15.75" thickBot="1" x14ac:dyDescent="0.35">
      <c r="A49" s="20"/>
      <c r="B49" s="21"/>
      <c r="C49" s="21"/>
      <c r="D49" s="22"/>
      <c r="F49" s="15" t="s">
        <v>172</v>
      </c>
      <c r="G49" s="4">
        <f>COS(60)*B41*1000</f>
        <v>190482.59608303127</v>
      </c>
      <c r="H49" s="4" t="s">
        <v>181</v>
      </c>
      <c r="I49" s="16" t="s">
        <v>184</v>
      </c>
      <c r="J49" s="5" t="s">
        <v>236</v>
      </c>
      <c r="K49">
        <f>G6/K46</f>
        <v>1.3653870392272964</v>
      </c>
      <c r="L49" s="4" t="s">
        <v>249</v>
      </c>
      <c r="M49" s="8"/>
    </row>
    <row r="50" spans="1:13" ht="15.75" thickBot="1" x14ac:dyDescent="0.35">
      <c r="A50" s="9"/>
      <c r="B50" s="10"/>
      <c r="C50" s="10"/>
      <c r="D50" s="10"/>
      <c r="E50" s="10"/>
      <c r="F50" s="17" t="s">
        <v>173</v>
      </c>
      <c r="G50" s="23">
        <f>B37/(B40*1000)</f>
        <v>-1.2931463244802546E-6</v>
      </c>
      <c r="H50" s="11" t="s">
        <v>182</v>
      </c>
      <c r="I50" s="18" t="s">
        <v>185</v>
      </c>
      <c r="J50" s="10"/>
      <c r="K50" s="10">
        <f>B4/K46</f>
        <v>0.51473878700918319</v>
      </c>
      <c r="L50" s="10" t="s">
        <v>250</v>
      </c>
      <c r="M50" s="12"/>
    </row>
    <row r="52" spans="1:13" x14ac:dyDescent="0.3">
      <c r="F52" s="4" t="s">
        <v>226</v>
      </c>
      <c r="G52" s="24">
        <f>(G50*B41*1000)+B37</f>
        <v>1.5586292648960509</v>
      </c>
      <c r="H52" s="4" t="s">
        <v>61</v>
      </c>
      <c r="I52" s="4" t="s">
        <v>275</v>
      </c>
    </row>
    <row r="54" spans="1:13" x14ac:dyDescent="0.3">
      <c r="B54">
        <v>0.85</v>
      </c>
      <c r="C54">
        <v>1.05</v>
      </c>
      <c r="F54" s="4" t="s">
        <v>227</v>
      </c>
      <c r="G54">
        <f>ABS(G49*G46*B39/(B41*1000))</f>
        <v>0.38334622461710038</v>
      </c>
      <c r="H54" t="s">
        <v>90</v>
      </c>
      <c r="I54" t="s">
        <v>229</v>
      </c>
    </row>
    <row r="55" spans="1:13" x14ac:dyDescent="0.3">
      <c r="B55">
        <f>B54*2/PI()</f>
        <v>0.54112680651244416</v>
      </c>
      <c r="C55">
        <f>C54*2/PI()</f>
        <v>0.66845076098596046</v>
      </c>
      <c r="F55" t="s">
        <v>228</v>
      </c>
      <c r="G55" s="24">
        <f>B12*G22/(B38*G52*2)</f>
        <v>7.2463957265666377</v>
      </c>
      <c r="H55" t="s">
        <v>90</v>
      </c>
      <c r="I55" t="s">
        <v>230</v>
      </c>
    </row>
    <row r="56" spans="1:13" x14ac:dyDescent="0.3">
      <c r="B56">
        <f>AVERAGE(B55,C55)</f>
        <v>0.60478878374920231</v>
      </c>
    </row>
    <row r="57" spans="1:13" x14ac:dyDescent="0.3">
      <c r="F57" t="s">
        <v>273</v>
      </c>
      <c r="G57">
        <v>3</v>
      </c>
      <c r="H57" t="s">
        <v>90</v>
      </c>
    </row>
    <row r="58" spans="1:13" x14ac:dyDescent="0.3">
      <c r="F58" t="s">
        <v>274</v>
      </c>
      <c r="G58">
        <v>40</v>
      </c>
      <c r="H58" t="s">
        <v>90</v>
      </c>
    </row>
  </sheetData>
  <mergeCells count="4">
    <mergeCell ref="A1:D1"/>
    <mergeCell ref="F1:I1"/>
    <mergeCell ref="J1:M1"/>
    <mergeCell ref="P1:S1"/>
  </mergeCells>
  <dataValidations disablePrompts="1" count="1">
    <dataValidation type="list" allowBlank="1" showInputMessage="1" showErrorMessage="1" sqref="B7" xr:uid="{7B14DC86-FF0E-4C65-9A9A-1B057DC2E59A}">
      <formula1>$N$3:$N$4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FAA62-1FC7-4585-8193-1D2E368F1E1C}">
  <dimension ref="A1:P57"/>
  <sheetViews>
    <sheetView topLeftCell="A14" zoomScale="85" zoomScaleNormal="85" workbookViewId="0">
      <selection activeCell="K44" sqref="K44"/>
    </sheetView>
  </sheetViews>
  <sheetFormatPr defaultRowHeight="15.05" x14ac:dyDescent="0.3"/>
  <cols>
    <col min="1" max="1" width="15.21875" bestFit="1" customWidth="1"/>
    <col min="6" max="6" width="16.44140625" style="32" customWidth="1"/>
    <col min="9" max="9" width="11.21875" bestFit="1" customWidth="1"/>
    <col min="12" max="12" width="17.44140625" bestFit="1" customWidth="1"/>
    <col min="13" max="15" width="9.44140625" bestFit="1" customWidth="1"/>
  </cols>
  <sheetData>
    <row r="1" spans="1:14" x14ac:dyDescent="0.3">
      <c r="A1" t="s">
        <v>278</v>
      </c>
    </row>
    <row r="3" spans="1:14" x14ac:dyDescent="0.3">
      <c r="A3" t="s">
        <v>281</v>
      </c>
      <c r="B3">
        <v>150</v>
      </c>
      <c r="C3" t="s">
        <v>90</v>
      </c>
      <c r="F3" s="32" t="s">
        <v>287</v>
      </c>
      <c r="G3">
        <v>12</v>
      </c>
      <c r="L3" t="s">
        <v>317</v>
      </c>
      <c r="M3">
        <f>PI()*B7*G45</f>
        <v>25603.980126756811</v>
      </c>
      <c r="N3" t="s">
        <v>132</v>
      </c>
    </row>
    <row r="4" spans="1:14" x14ac:dyDescent="0.3">
      <c r="A4" t="s">
        <v>279</v>
      </c>
      <c r="B4">
        <f>0.55*B3</f>
        <v>82.5</v>
      </c>
      <c r="C4" t="s">
        <v>90</v>
      </c>
      <c r="F4" s="32" t="s">
        <v>288</v>
      </c>
      <c r="G4">
        <v>8</v>
      </c>
    </row>
    <row r="5" spans="1:14" x14ac:dyDescent="0.3">
      <c r="A5" t="s">
        <v>282</v>
      </c>
      <c r="B5">
        <v>25</v>
      </c>
      <c r="C5" t="s">
        <v>90</v>
      </c>
      <c r="F5" s="32" t="s">
        <v>325</v>
      </c>
      <c r="G5">
        <f>G3/3</f>
        <v>4</v>
      </c>
      <c r="L5" t="s">
        <v>318</v>
      </c>
      <c r="M5">
        <f>(PI()/2)*B7*0.001*M7</f>
        <v>40.218637934439137</v>
      </c>
      <c r="N5" t="s">
        <v>320</v>
      </c>
    </row>
    <row r="6" spans="1:14" x14ac:dyDescent="0.3">
      <c r="A6" t="s">
        <v>110</v>
      </c>
      <c r="B6">
        <v>0.5</v>
      </c>
      <c r="C6" t="s">
        <v>90</v>
      </c>
      <c r="F6" s="32" t="s">
        <v>277</v>
      </c>
      <c r="G6">
        <f>PI()*(B4+B7)/(2*G3)</f>
        <v>21.46754979953025</v>
      </c>
      <c r="H6" t="s">
        <v>90</v>
      </c>
      <c r="I6" t="s">
        <v>293</v>
      </c>
      <c r="J6">
        <f>PI()*B4</f>
        <v>259.18139392115791</v>
      </c>
      <c r="K6" t="s">
        <v>90</v>
      </c>
    </row>
    <row r="7" spans="1:14" x14ac:dyDescent="0.3">
      <c r="A7" t="s">
        <v>280</v>
      </c>
      <c r="B7">
        <v>81.5</v>
      </c>
      <c r="C7" t="s">
        <v>90</v>
      </c>
      <c r="F7" s="32" t="s">
        <v>289</v>
      </c>
      <c r="G7">
        <f>G4*PI()/G3</f>
        <v>2.0943951023931953</v>
      </c>
      <c r="H7" t="s">
        <v>290</v>
      </c>
      <c r="L7" t="s">
        <v>319</v>
      </c>
      <c r="M7">
        <f>B10*PI()/30</f>
        <v>314.15926535897933</v>
      </c>
      <c r="N7" t="s">
        <v>22</v>
      </c>
    </row>
    <row r="8" spans="1:14" x14ac:dyDescent="0.3">
      <c r="B8">
        <f>B7+B6</f>
        <v>82</v>
      </c>
      <c r="F8" s="32" t="s">
        <v>289</v>
      </c>
      <c r="G8">
        <f>G7*2</f>
        <v>4.1887902047863905</v>
      </c>
      <c r="H8" t="s">
        <v>291</v>
      </c>
    </row>
    <row r="9" spans="1:14" x14ac:dyDescent="0.3">
      <c r="A9" t="s">
        <v>283</v>
      </c>
      <c r="B9">
        <v>9</v>
      </c>
      <c r="C9" t="s">
        <v>21</v>
      </c>
      <c r="L9" t="s">
        <v>321</v>
      </c>
      <c r="M9">
        <v>1.7900000000000001E-5</v>
      </c>
      <c r="N9" t="s">
        <v>248</v>
      </c>
    </row>
    <row r="10" spans="1:14" x14ac:dyDescent="0.3">
      <c r="A10" t="s">
        <v>26</v>
      </c>
      <c r="B10">
        <v>3000</v>
      </c>
      <c r="C10" t="s">
        <v>54</v>
      </c>
      <c r="F10" s="32" t="s">
        <v>292</v>
      </c>
      <c r="G10">
        <f>PI()*(B7+B4)/(2*G4)</f>
        <v>32.201324699295377</v>
      </c>
      <c r="H10" t="s">
        <v>90</v>
      </c>
    </row>
    <row r="11" spans="1:14" x14ac:dyDescent="0.3">
      <c r="A11" t="s">
        <v>284</v>
      </c>
      <c r="B11">
        <v>95</v>
      </c>
      <c r="C11" t="s">
        <v>285</v>
      </c>
    </row>
    <row r="12" spans="1:14" x14ac:dyDescent="0.3">
      <c r="A12" t="s">
        <v>286</v>
      </c>
      <c r="B12">
        <f>B9*1000*(1-(B11/100))</f>
        <v>450.0000000000004</v>
      </c>
      <c r="C12" t="s">
        <v>220</v>
      </c>
      <c r="F12" s="32" t="s">
        <v>294</v>
      </c>
      <c r="G12">
        <f>G4*3</f>
        <v>24</v>
      </c>
    </row>
    <row r="13" spans="1:14" x14ac:dyDescent="0.3">
      <c r="F13" s="32" t="s">
        <v>295</v>
      </c>
      <c r="G13">
        <f>G3/G12</f>
        <v>0.5</v>
      </c>
      <c r="H13" t="s">
        <v>296</v>
      </c>
    </row>
    <row r="14" spans="1:14" x14ac:dyDescent="0.3">
      <c r="H14" t="s">
        <v>297</v>
      </c>
    </row>
    <row r="15" spans="1:14" x14ac:dyDescent="0.3">
      <c r="L15" t="s">
        <v>113</v>
      </c>
      <c r="M15">
        <f>B19*PI()*B8*G45*0.001</f>
        <v>15.580000000000002</v>
      </c>
      <c r="N15" t="s">
        <v>344</v>
      </c>
    </row>
    <row r="16" spans="1:14" x14ac:dyDescent="0.3">
      <c r="L16" t="s">
        <v>117</v>
      </c>
      <c r="M16">
        <f>M15/G4</f>
        <v>1.9475000000000002</v>
      </c>
      <c r="N16" t="s">
        <v>344</v>
      </c>
    </row>
    <row r="17" spans="1:16" x14ac:dyDescent="0.3">
      <c r="F17" s="32" t="s">
        <v>283</v>
      </c>
      <c r="G17">
        <v>9000</v>
      </c>
      <c r="H17" t="s">
        <v>220</v>
      </c>
      <c r="L17" t="s">
        <v>188</v>
      </c>
      <c r="M17">
        <f>M15/G3</f>
        <v>1.2983333333333336</v>
      </c>
      <c r="N17" t="s">
        <v>344</v>
      </c>
    </row>
    <row r="18" spans="1:16" ht="30.15" x14ac:dyDescent="0.3">
      <c r="A18" s="25" t="s">
        <v>298</v>
      </c>
      <c r="B18">
        <f>'Main Dimensions'!B13</f>
        <v>40</v>
      </c>
      <c r="C18" t="s">
        <v>62</v>
      </c>
      <c r="F18" s="32" t="s">
        <v>300</v>
      </c>
      <c r="H18" t="s">
        <v>19</v>
      </c>
    </row>
    <row r="19" spans="1:16" x14ac:dyDescent="0.3">
      <c r="A19" t="s">
        <v>31</v>
      </c>
      <c r="B19">
        <f>'Main Dimensions'!B12</f>
        <v>0.60478878374920231</v>
      </c>
      <c r="C19" t="s">
        <v>61</v>
      </c>
      <c r="F19" s="32" t="s">
        <v>301</v>
      </c>
      <c r="G19">
        <v>72</v>
      </c>
      <c r="H19" t="s">
        <v>19</v>
      </c>
    </row>
    <row r="20" spans="1:16" x14ac:dyDescent="0.3">
      <c r="F20" s="32" t="s">
        <v>302</v>
      </c>
      <c r="G20">
        <f>G17/G19</f>
        <v>125</v>
      </c>
      <c r="H20" t="s">
        <v>75</v>
      </c>
      <c r="L20" t="s">
        <v>348</v>
      </c>
    </row>
    <row r="21" spans="1:16" x14ac:dyDescent="0.3">
      <c r="L21">
        <f>G3/G4</f>
        <v>1.5</v>
      </c>
    </row>
    <row r="22" spans="1:16" x14ac:dyDescent="0.3">
      <c r="F22" s="32" t="s">
        <v>303</v>
      </c>
      <c r="G22">
        <f>G20*1.1</f>
        <v>137.5</v>
      </c>
      <c r="H22" t="s">
        <v>75</v>
      </c>
      <c r="L22" t="s">
        <v>349</v>
      </c>
    </row>
    <row r="23" spans="1:16" x14ac:dyDescent="0.3">
      <c r="G23">
        <v>140</v>
      </c>
      <c r="H23" t="s">
        <v>75</v>
      </c>
    </row>
    <row r="25" spans="1:16" x14ac:dyDescent="0.3">
      <c r="F25" s="32" t="s">
        <v>304</v>
      </c>
      <c r="G25">
        <v>0.95</v>
      </c>
      <c r="H25" t="s">
        <v>305</v>
      </c>
    </row>
    <row r="26" spans="1:16" x14ac:dyDescent="0.3">
      <c r="F26" s="32" t="s">
        <v>306</v>
      </c>
      <c r="G26" s="24">
        <v>3100000</v>
      </c>
      <c r="H26" s="24" t="s">
        <v>307</v>
      </c>
    </row>
    <row r="27" spans="1:16" x14ac:dyDescent="0.3">
      <c r="F27" s="32" t="s">
        <v>308</v>
      </c>
      <c r="G27" s="24">
        <f>G26*G25</f>
        <v>2945000</v>
      </c>
      <c r="H27" t="s">
        <v>307</v>
      </c>
    </row>
    <row r="29" spans="1:16" x14ac:dyDescent="0.3">
      <c r="F29" s="32" t="s">
        <v>340</v>
      </c>
      <c r="G29" s="24">
        <f>1/(G27/G23)</f>
        <v>4.7538200339558573E-5</v>
      </c>
      <c r="H29" t="s">
        <v>309</v>
      </c>
    </row>
    <row r="30" spans="1:16" x14ac:dyDescent="0.3">
      <c r="F30" s="32" t="s">
        <v>341</v>
      </c>
      <c r="G30" s="24">
        <f>G29*1000000</f>
        <v>47.538200339558571</v>
      </c>
      <c r="H30" t="s">
        <v>132</v>
      </c>
      <c r="I30" t="s">
        <v>342</v>
      </c>
    </row>
    <row r="31" spans="1:16" x14ac:dyDescent="0.3">
      <c r="M31" t="s">
        <v>332</v>
      </c>
      <c r="N31" t="s">
        <v>333</v>
      </c>
      <c r="O31" t="s">
        <v>334</v>
      </c>
    </row>
    <row r="32" spans="1:16" x14ac:dyDescent="0.3">
      <c r="G32" s="24"/>
      <c r="J32" s="29">
        <v>0.8</v>
      </c>
      <c r="L32" t="s">
        <v>331</v>
      </c>
      <c r="M32" s="33">
        <v>0.71099999999999997</v>
      </c>
      <c r="N32" s="33">
        <v>0.81299999999999994</v>
      </c>
      <c r="O32" s="33">
        <v>0.91400000000000003</v>
      </c>
      <c r="P32" t="s">
        <v>90</v>
      </c>
    </row>
    <row r="33" spans="6:16" x14ac:dyDescent="0.3">
      <c r="G33" s="31"/>
      <c r="J33" s="29">
        <v>0.75</v>
      </c>
      <c r="M33" t="s">
        <v>335</v>
      </c>
      <c r="N33" t="s">
        <v>336</v>
      </c>
      <c r="O33" t="s">
        <v>337</v>
      </c>
    </row>
    <row r="34" spans="6:16" x14ac:dyDescent="0.3">
      <c r="J34" s="29">
        <v>0.85</v>
      </c>
    </row>
    <row r="35" spans="6:16" x14ac:dyDescent="0.3">
      <c r="L35" t="s">
        <v>338</v>
      </c>
      <c r="M35">
        <f>0.01+M32</f>
        <v>0.72099999999999997</v>
      </c>
      <c r="N35">
        <f>0.01+N32</f>
        <v>0.82299999999999995</v>
      </c>
      <c r="O35">
        <f>0.01+O32</f>
        <v>0.92400000000000004</v>
      </c>
      <c r="P35" t="s">
        <v>132</v>
      </c>
    </row>
    <row r="36" spans="6:16" x14ac:dyDescent="0.3">
      <c r="F36" s="32" t="s">
        <v>310</v>
      </c>
      <c r="G36" s="31">
        <v>53.475099999999998</v>
      </c>
      <c r="H36" t="s">
        <v>132</v>
      </c>
      <c r="L36" t="s">
        <v>339</v>
      </c>
      <c r="M36">
        <f>PI()*M35/4</f>
        <v>0.56627207580956018</v>
      </c>
      <c r="N36">
        <f>PI()*N35/4</f>
        <v>0.64638268847609992</v>
      </c>
      <c r="O36">
        <f>PI()*O35/4</f>
        <v>0.72570790297924226</v>
      </c>
      <c r="P36" t="s">
        <v>132</v>
      </c>
    </row>
    <row r="37" spans="6:16" x14ac:dyDescent="0.3">
      <c r="F37" s="32" t="s">
        <v>299</v>
      </c>
      <c r="G37">
        <f>_xlfn.CEILING.MATH((G36*PI()*B8)/(2*3*G23))</f>
        <v>17</v>
      </c>
      <c r="L37" t="s">
        <v>299</v>
      </c>
      <c r="M37" s="34">
        <f>_xlfn.CEILING.MATH(G30/M36)</f>
        <v>84</v>
      </c>
      <c r="N37" s="34">
        <f>_xlfn.CEILING.MATH(G30/N36)</f>
        <v>74</v>
      </c>
      <c r="O37" s="34">
        <f>_xlfn.CEILING.MATH(G30/O36)</f>
        <v>66</v>
      </c>
      <c r="P37" t="s">
        <v>343</v>
      </c>
    </row>
    <row r="38" spans="6:16" ht="30.15" x14ac:dyDescent="0.3">
      <c r="F38" s="32" t="s">
        <v>311</v>
      </c>
      <c r="G38">
        <f>G40/3</f>
        <v>1331.8719223040855</v>
      </c>
      <c r="H38" t="s">
        <v>312</v>
      </c>
      <c r="L38" t="s">
        <v>345</v>
      </c>
      <c r="M38" s="24">
        <f>M37/G5</f>
        <v>21</v>
      </c>
      <c r="N38">
        <f>_xlfn.CEILING.MATH(N37/G5)</f>
        <v>19</v>
      </c>
      <c r="O38">
        <f>_xlfn.CEILING.MATH(O37/G5)</f>
        <v>17</v>
      </c>
    </row>
    <row r="39" spans="6:16" x14ac:dyDescent="0.3">
      <c r="F39" s="32" t="s">
        <v>324</v>
      </c>
      <c r="G39">
        <v>1</v>
      </c>
      <c r="L39" t="s">
        <v>346</v>
      </c>
      <c r="M39">
        <f>M36*M37</f>
        <v>47.566854368003057</v>
      </c>
      <c r="N39">
        <f>N37*N36</f>
        <v>47.832318947231393</v>
      </c>
      <c r="O39">
        <f>O37*O36</f>
        <v>47.896721596629988</v>
      </c>
    </row>
    <row r="40" spans="6:16" ht="30.15" x14ac:dyDescent="0.3">
      <c r="F40" s="32" t="s">
        <v>313</v>
      </c>
      <c r="G40">
        <v>3995.6157669122567</v>
      </c>
      <c r="H40" t="s">
        <v>132</v>
      </c>
      <c r="L40" s="32" t="s">
        <v>311</v>
      </c>
      <c r="M40" s="35">
        <f>M39*M37</f>
        <v>3995.6157669122567</v>
      </c>
    </row>
    <row r="41" spans="6:16" x14ac:dyDescent="0.3">
      <c r="L41" t="s">
        <v>347</v>
      </c>
      <c r="M41">
        <f>3*M40</f>
        <v>11986.84730073677</v>
      </c>
      <c r="N41" t="s">
        <v>132</v>
      </c>
    </row>
    <row r="42" spans="6:16" ht="30.15" x14ac:dyDescent="0.3">
      <c r="F42" s="32" t="s">
        <v>314</v>
      </c>
      <c r="G42">
        <v>1</v>
      </c>
    </row>
    <row r="43" spans="6:16" x14ac:dyDescent="0.3">
      <c r="F43" s="32" t="s">
        <v>315</v>
      </c>
    </row>
    <row r="45" spans="6:16" x14ac:dyDescent="0.3">
      <c r="F45" s="32" t="s">
        <v>316</v>
      </c>
      <c r="G45">
        <v>100</v>
      </c>
      <c r="H45" t="s">
        <v>90</v>
      </c>
    </row>
    <row r="47" spans="6:16" x14ac:dyDescent="0.3">
      <c r="F47" s="32" t="s">
        <v>322</v>
      </c>
      <c r="G47">
        <v>0.7</v>
      </c>
    </row>
    <row r="48" spans="6:16" x14ac:dyDescent="0.3">
      <c r="F48" s="32" t="s">
        <v>323</v>
      </c>
      <c r="G48">
        <f>(1+G47)*G38</f>
        <v>2264.1822679169454</v>
      </c>
      <c r="H48" t="s">
        <v>312</v>
      </c>
    </row>
    <row r="50" spans="6:8" x14ac:dyDescent="0.3">
      <c r="F50" s="32" t="s">
        <v>326</v>
      </c>
      <c r="G50">
        <f>G48/G5</f>
        <v>566.04556697923636</v>
      </c>
      <c r="H50" t="s">
        <v>132</v>
      </c>
    </row>
    <row r="52" spans="6:8" x14ac:dyDescent="0.3">
      <c r="F52" s="32" t="s">
        <v>327</v>
      </c>
      <c r="G52">
        <f>PI()*((B3*B3)-(B4*B4))/4</f>
        <v>12325.842426818705</v>
      </c>
      <c r="H52" t="s">
        <v>132</v>
      </c>
    </row>
    <row r="53" spans="6:8" x14ac:dyDescent="0.3">
      <c r="F53" s="32" t="s">
        <v>328</v>
      </c>
      <c r="G53">
        <f>3*G48</f>
        <v>6792.5468037508363</v>
      </c>
      <c r="H53" t="s">
        <v>132</v>
      </c>
    </row>
    <row r="55" spans="6:8" ht="30.15" customHeight="1" x14ac:dyDescent="0.3">
      <c r="F55" s="25" t="s">
        <v>329</v>
      </c>
      <c r="G55">
        <f>G52-G53</f>
        <v>5533.2956230678683</v>
      </c>
      <c r="H55" t="s">
        <v>132</v>
      </c>
    </row>
    <row r="57" spans="6:8" ht="30.15" customHeight="1" x14ac:dyDescent="0.3">
      <c r="F57" s="25" t="s">
        <v>330</v>
      </c>
      <c r="G57">
        <f>SQRT(-((4*G55/PI())-(B3*B3)))</f>
        <v>124.31729244155858</v>
      </c>
      <c r="H57" t="s">
        <v>90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1B1B12-5F06-4706-AF79-251578C2A50F}">
  <sheetPr codeName="Sheet4"/>
  <dimension ref="C2:G8"/>
  <sheetViews>
    <sheetView workbookViewId="0">
      <selection activeCell="F4" sqref="F4"/>
    </sheetView>
  </sheetViews>
  <sheetFormatPr defaultRowHeight="15.05" x14ac:dyDescent="0.3"/>
  <cols>
    <col min="3" max="3" width="17.33203125" customWidth="1"/>
  </cols>
  <sheetData>
    <row r="2" spans="3:7" ht="30.15" x14ac:dyDescent="0.3">
      <c r="C2" s="25" t="s">
        <v>247</v>
      </c>
      <c r="D2">
        <v>3.8999999999999998E-3</v>
      </c>
    </row>
    <row r="3" spans="3:7" ht="30.15" x14ac:dyDescent="0.3">
      <c r="C3" s="25" t="s">
        <v>241</v>
      </c>
      <c r="D3" s="24">
        <v>1.7199999999999999E-8</v>
      </c>
      <c r="E3" t="s">
        <v>242</v>
      </c>
    </row>
    <row r="4" spans="3:7" ht="30.15" x14ac:dyDescent="0.3">
      <c r="C4" s="25" t="s">
        <v>240</v>
      </c>
      <c r="D4" s="24">
        <f>D3*(1+D2*('Main Dimensions'!B47+'Resitivity Calculations'!B48-20))</f>
        <v>1.7870799999999997E-8</v>
      </c>
      <c r="E4" t="s">
        <v>242</v>
      </c>
      <c r="F4">
        <v>1.7900000000000001E-5</v>
      </c>
      <c r="G4" t="s">
        <v>248</v>
      </c>
    </row>
    <row r="6" spans="3:7" x14ac:dyDescent="0.3">
      <c r="C6" t="s">
        <v>243</v>
      </c>
      <c r="D6">
        <v>8933</v>
      </c>
      <c r="E6" t="s">
        <v>246</v>
      </c>
      <c r="F6" s="24">
        <v>8.9330000000000007E-6</v>
      </c>
      <c r="G6" t="s">
        <v>272</v>
      </c>
    </row>
    <row r="7" spans="3:7" x14ac:dyDescent="0.3">
      <c r="C7" t="s">
        <v>244</v>
      </c>
      <c r="D7">
        <v>7850</v>
      </c>
      <c r="E7" t="s">
        <v>246</v>
      </c>
      <c r="F7" s="24">
        <v>7.8499999999999994E-6</v>
      </c>
      <c r="G7" t="s">
        <v>272</v>
      </c>
    </row>
    <row r="8" spans="3:7" x14ac:dyDescent="0.3">
      <c r="C8" t="s">
        <v>245</v>
      </c>
      <c r="D8">
        <v>7550</v>
      </c>
      <c r="E8" t="s">
        <v>246</v>
      </c>
      <c r="F8" s="24">
        <v>7.5499999999999997E-6</v>
      </c>
      <c r="G8" t="s">
        <v>272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5F6A66-EECE-4704-B1A1-79826F647786}">
  <sheetPr codeName="Sheet3"/>
  <dimension ref="A1:E6"/>
  <sheetViews>
    <sheetView workbookViewId="0">
      <selection activeCell="C13" sqref="C13"/>
    </sheetView>
  </sheetViews>
  <sheetFormatPr defaultRowHeight="15.05" x14ac:dyDescent="0.3"/>
  <cols>
    <col min="1" max="1" width="15.109375" bestFit="1" customWidth="1"/>
    <col min="4" max="4" width="12.77734375" bestFit="1" customWidth="1"/>
    <col min="5" max="5" width="8.109375" bestFit="1" customWidth="1"/>
  </cols>
  <sheetData>
    <row r="1" spans="1:5" x14ac:dyDescent="0.3">
      <c r="A1" t="s">
        <v>140</v>
      </c>
      <c r="B1" t="s">
        <v>3</v>
      </c>
      <c r="D1" t="s">
        <v>141</v>
      </c>
      <c r="E1" t="s">
        <v>142</v>
      </c>
    </row>
    <row r="2" spans="1:5" x14ac:dyDescent="0.3">
      <c r="A2" t="s">
        <v>141</v>
      </c>
      <c r="B2">
        <f>'Main Dimensions'!B23</f>
        <v>0.76</v>
      </c>
    </row>
    <row r="3" spans="1:5" x14ac:dyDescent="0.3">
      <c r="A3" t="s">
        <v>144</v>
      </c>
      <c r="B3">
        <v>0.9</v>
      </c>
    </row>
    <row r="4" spans="1:5" x14ac:dyDescent="0.3">
      <c r="A4" t="s">
        <v>143</v>
      </c>
      <c r="B4">
        <v>0.1</v>
      </c>
    </row>
    <row r="5" spans="1:5" x14ac:dyDescent="0.3">
      <c r="A5" t="s">
        <v>142</v>
      </c>
      <c r="B5">
        <f>'Main Dimensions'!K11</f>
        <v>13</v>
      </c>
    </row>
    <row r="6" spans="1:5" x14ac:dyDescent="0.3">
      <c r="A6" t="s">
        <v>145</v>
      </c>
      <c r="B6">
        <v>20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odule3.SensitivityAnalysis">
                <anchor moveWithCells="1" sizeWithCells="1">
                  <from>
                    <xdr:col>1</xdr:col>
                    <xdr:colOff>8313</xdr:colOff>
                    <xdr:row>7</xdr:row>
                    <xdr:rowOff>58189</xdr:rowOff>
                  </from>
                  <to>
                    <xdr:col>1</xdr:col>
                    <xdr:colOff>581891</xdr:colOff>
                    <xdr:row>7</xdr:row>
                    <xdr:rowOff>149629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A5A0CD-95EA-4C2E-934B-AEC5B9046B23}">
  <sheetPr codeName="Sheet5"/>
  <dimension ref="A3:G14"/>
  <sheetViews>
    <sheetView tabSelected="1" workbookViewId="0">
      <selection activeCell="I13" sqref="I13"/>
    </sheetView>
  </sheetViews>
  <sheetFormatPr defaultRowHeight="15.05" x14ac:dyDescent="0.3"/>
  <cols>
    <col min="1" max="1" width="13.5546875" bestFit="1" customWidth="1"/>
  </cols>
  <sheetData>
    <row r="3" spans="1:7" x14ac:dyDescent="0.3">
      <c r="A3" t="s">
        <v>253</v>
      </c>
      <c r="B3" t="s">
        <v>255</v>
      </c>
      <c r="C3" t="s">
        <v>256</v>
      </c>
      <c r="D3" t="s">
        <v>261</v>
      </c>
      <c r="E3" t="s">
        <v>262</v>
      </c>
      <c r="F3" t="s">
        <v>259</v>
      </c>
    </row>
    <row r="4" spans="1:7" x14ac:dyDescent="0.3">
      <c r="A4" t="s">
        <v>254</v>
      </c>
      <c r="B4" t="s">
        <v>239</v>
      </c>
      <c r="C4" t="s">
        <v>34</v>
      </c>
      <c r="D4" t="s">
        <v>257</v>
      </c>
      <c r="E4" t="s">
        <v>258</v>
      </c>
      <c r="F4" t="s">
        <v>260</v>
      </c>
      <c r="G4" t="s">
        <v>350</v>
      </c>
    </row>
    <row r="5" spans="1:7" x14ac:dyDescent="0.3">
      <c r="A5" t="s">
        <v>263</v>
      </c>
      <c r="B5">
        <v>6</v>
      </c>
      <c r="C5">
        <v>8</v>
      </c>
      <c r="D5">
        <v>23.915184203506954</v>
      </c>
      <c r="E5">
        <v>328.01865587412368</v>
      </c>
    </row>
    <row r="6" spans="1:7" x14ac:dyDescent="0.3">
      <c r="A6" t="s">
        <v>264</v>
      </c>
      <c r="B6">
        <v>6</v>
      </c>
      <c r="C6">
        <v>10</v>
      </c>
      <c r="D6">
        <v>24.128743186742636</v>
      </c>
      <c r="E6">
        <v>350.1590445793027</v>
      </c>
    </row>
    <row r="7" spans="1:7" x14ac:dyDescent="0.3">
      <c r="A7" t="s">
        <v>265</v>
      </c>
      <c r="B7">
        <v>6</v>
      </c>
      <c r="C7">
        <v>12</v>
      </c>
      <c r="D7">
        <v>25.930350758371009</v>
      </c>
      <c r="E7">
        <v>391.11437460148466</v>
      </c>
    </row>
    <row r="8" spans="1:7" x14ac:dyDescent="0.3">
      <c r="A8" t="s">
        <v>266</v>
      </c>
      <c r="B8">
        <v>8</v>
      </c>
      <c r="C8">
        <v>10</v>
      </c>
      <c r="D8">
        <v>24.128743186742636</v>
      </c>
      <c r="E8">
        <v>350.1590445793027</v>
      </c>
    </row>
    <row r="9" spans="1:7" x14ac:dyDescent="0.3">
      <c r="A9" t="s">
        <v>267</v>
      </c>
      <c r="B9">
        <v>8</v>
      </c>
      <c r="C9">
        <v>12</v>
      </c>
      <c r="D9">
        <v>25.930350758371009</v>
      </c>
      <c r="E9">
        <v>391.11437460148466</v>
      </c>
    </row>
    <row r="10" spans="1:7" x14ac:dyDescent="0.3">
      <c r="A10" t="s">
        <v>268</v>
      </c>
      <c r="B10">
        <v>8</v>
      </c>
      <c r="C10">
        <v>14</v>
      </c>
      <c r="D10">
        <v>26.165492094779061</v>
      </c>
      <c r="E10">
        <v>405.85575668815756</v>
      </c>
    </row>
    <row r="11" spans="1:7" x14ac:dyDescent="0.3">
      <c r="A11" t="s">
        <v>269</v>
      </c>
      <c r="B11">
        <v>10</v>
      </c>
      <c r="C11">
        <v>12</v>
      </c>
      <c r="D11">
        <v>25.930350758371009</v>
      </c>
      <c r="E11">
        <v>391.11437460148466</v>
      </c>
    </row>
    <row r="12" spans="1:7" x14ac:dyDescent="0.3">
      <c r="A12" t="s">
        <v>270</v>
      </c>
      <c r="B12">
        <v>10</v>
      </c>
      <c r="C12">
        <v>14</v>
      </c>
      <c r="D12">
        <v>26.165492094779061</v>
      </c>
      <c r="E12">
        <v>405.85575668815756</v>
      </c>
    </row>
    <row r="13" spans="1:7" x14ac:dyDescent="0.3">
      <c r="A13" t="s">
        <v>271</v>
      </c>
      <c r="B13">
        <v>10</v>
      </c>
      <c r="C13">
        <v>16</v>
      </c>
      <c r="D13">
        <v>26.981120049628029</v>
      </c>
      <c r="E13">
        <v>430.06536687914092</v>
      </c>
    </row>
    <row r="14" spans="1:7" x14ac:dyDescent="0.3">
      <c r="A14" t="s">
        <v>276</v>
      </c>
      <c r="B14">
        <v>10</v>
      </c>
      <c r="C14">
        <v>18</v>
      </c>
      <c r="D14">
        <v>26.226274906743527</v>
      </c>
      <c r="E14">
        <v>417.59556592305921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SlotPoleCombination">
                <anchor moveWithCells="1" sizeWithCells="1">
                  <from>
                    <xdr:col>0</xdr:col>
                    <xdr:colOff>382385</xdr:colOff>
                    <xdr:row>0</xdr:row>
                    <xdr:rowOff>99753</xdr:rowOff>
                  </from>
                  <to>
                    <xdr:col>4</xdr:col>
                    <xdr:colOff>507076</xdr:colOff>
                    <xdr:row>1</xdr:row>
                    <xdr:rowOff>149629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1ebbfa93-c2c5-442d-9866-55b583ea4d04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67FF11FB9CA6F459B93219652EDED8C" ma:contentTypeVersion="18" ma:contentTypeDescription="Create a new document." ma:contentTypeScope="" ma:versionID="11758aecd256fe38e3c44490eebdc112">
  <xsd:schema xmlns:xsd="http://www.w3.org/2001/XMLSchema" xmlns:xs="http://www.w3.org/2001/XMLSchema" xmlns:p="http://schemas.microsoft.com/office/2006/metadata/properties" xmlns:ns3="1ebbfa93-c2c5-442d-9866-55b583ea4d04" xmlns:ns4="8fad8028-2e2d-45b7-b365-5ff4b53f538f" targetNamespace="http://schemas.microsoft.com/office/2006/metadata/properties" ma:root="true" ma:fieldsID="c879309aab1f8359dca4e66db8af1a5e" ns3:_="" ns4:_="">
    <xsd:import namespace="1ebbfa93-c2c5-442d-9866-55b583ea4d04"/>
    <xsd:import namespace="8fad8028-2e2d-45b7-b365-5ff4b53f538f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LengthInSeconds" minOccurs="0"/>
                <xsd:element ref="ns3:MediaServiceAutoKeyPoints" minOccurs="0"/>
                <xsd:element ref="ns3:MediaServiceKeyPoints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_activity" minOccurs="0"/>
                <xsd:element ref="ns3:MediaServiceLocation" minOccurs="0"/>
                <xsd:element ref="ns3:MediaServiceObjectDetectorVersions" minOccurs="0"/>
                <xsd:element ref="ns3:MediaServiceSystemTag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ebbfa93-c2c5-442d-9866-55b583ea4d0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LengthInSeconds" ma:index="1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0" nillable="true" ma:displayName="MediaServiceEventHashCode" ma:hidden="true" ma:internalName="MediaServiceEventHashCode" ma:readOnly="true">
      <xsd:simpleType>
        <xsd:restriction base="dms:Text"/>
      </xsd:simpleType>
    </xsd:element>
    <xsd:element name="_activity" ma:index="21" nillable="true" ma:displayName="_activity" ma:hidden="true" ma:internalName="_activity">
      <xsd:simpleType>
        <xsd:restriction base="dms:Note"/>
      </xsd:simpleType>
    </xsd:element>
    <xsd:element name="MediaServiceLocation" ma:index="22" nillable="true" ma:displayName="Location" ma:indexed="true" ma:internalName="MediaServiceLocation" ma:readOnly="true">
      <xsd:simpleType>
        <xsd:restriction base="dms:Text"/>
      </xsd:simpleType>
    </xsd:element>
    <xsd:element name="MediaServiceObjectDetectorVersions" ma:index="23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ystemTags" ma:index="24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fad8028-2e2d-45b7-b365-5ff4b53f538f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7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E09E685-625C-4CD1-8ED6-C400E9CD5C1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BE35904-EDC6-41B3-8472-30AE4B6E4C7C}">
  <ds:schemaRefs>
    <ds:schemaRef ds:uri="http://www.w3.org/XML/1998/namespace"/>
    <ds:schemaRef ds:uri="8fad8028-2e2d-45b7-b365-5ff4b53f538f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purl.org/dc/terms/"/>
    <ds:schemaRef ds:uri="http://schemas.microsoft.com/office/2006/metadata/properties"/>
    <ds:schemaRef ds:uri="http://purl.org/dc/dcmitype/"/>
    <ds:schemaRef ds:uri="http://schemas.openxmlformats.org/package/2006/metadata/core-properties"/>
    <ds:schemaRef ds:uri="1ebbfa93-c2c5-442d-9866-55b583ea4d04"/>
  </ds:schemaRefs>
</ds:datastoreItem>
</file>

<file path=customXml/itemProps3.xml><?xml version="1.0" encoding="utf-8"?>
<ds:datastoreItem xmlns:ds="http://schemas.openxmlformats.org/officeDocument/2006/customXml" ds:itemID="{9C0AB8BC-93FD-4479-AC20-020AA230BDF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ebbfa93-c2c5-442d-9866-55b583ea4d04"/>
    <ds:schemaRef ds:uri="8fad8028-2e2d-45b7-b365-5ff4b53f538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Motor Ratings</vt:lpstr>
      <vt:lpstr>Main Dimensions</vt:lpstr>
      <vt:lpstr>Fresh_Start</vt:lpstr>
      <vt:lpstr>Resitivity Calculations</vt:lpstr>
      <vt:lpstr>SensitivityAnalysis</vt:lpstr>
      <vt:lpstr>Ns-Nm Combination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VEDANT SACHIN SHIRKE - 210929262</dc:creator>
  <cp:lastModifiedBy>VEDANT SACHIN SHIRKE - 210929262</cp:lastModifiedBy>
  <dcterms:created xsi:type="dcterms:W3CDTF">2024-05-28T04:43:48Z</dcterms:created>
  <dcterms:modified xsi:type="dcterms:W3CDTF">2024-07-05T06:59:38Z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0x010100367FF11FB9CA6F459B93219652EDED8C</vt:lpwstr>
  </property>
</Properties>
</file>